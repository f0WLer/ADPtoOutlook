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OneDrive\Desktop\Code\ADPtoOutlook\"/>
    </mc:Choice>
  </mc:AlternateContent>
  <xr:revisionPtr revIDLastSave="0" documentId="13_ncr:1_{3E64C844-C195-45B9-9DE1-F4347BD16AAF}" xr6:coauthVersionLast="47" xr6:coauthVersionMax="47" xr10:uidLastSave="{00000000-0000-0000-0000-000000000000}"/>
  <bookViews>
    <workbookView xWindow="1080" yWindow="1080" windowWidth="21600" windowHeight="11835" xr2:uid="{00000000-000D-0000-FFFF-FFFF00000000}"/>
  </bookViews>
  <sheets>
    <sheet name="Time Off Request" sheetId="1" r:id="rId1"/>
    <sheet name="Report Runtime Settings" sheetId="2" r:id="rId2"/>
  </sheets>
  <definedNames>
    <definedName name="__bookmark_1">'Time Off Request'!$A$1:$O$343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5" i="1"/>
  <c r="I61" i="1"/>
  <c r="I7" i="1"/>
  <c r="I14" i="1"/>
  <c r="I13" i="1"/>
  <c r="I33" i="1"/>
  <c r="I6" i="1"/>
  <c r="I56" i="1"/>
  <c r="I40" i="1"/>
  <c r="I26" i="1"/>
  <c r="I63" i="1"/>
  <c r="I69" i="1"/>
  <c r="I43" i="1"/>
  <c r="I67" i="1"/>
  <c r="I68" i="1"/>
  <c r="I65" i="1"/>
  <c r="I71" i="1"/>
  <c r="I64" i="1"/>
  <c r="I45" i="1"/>
  <c r="I70" i="1"/>
  <c r="I66" i="1"/>
  <c r="I44" i="1"/>
  <c r="I55" i="1"/>
  <c r="I23" i="1"/>
  <c r="I27" i="1"/>
  <c r="I24" i="1"/>
  <c r="I25" i="1"/>
  <c r="I39" i="1"/>
  <c r="I32" i="1"/>
  <c r="I28" i="1"/>
  <c r="I36" i="1"/>
  <c r="I29" i="1"/>
  <c r="I58" i="1"/>
  <c r="I38" i="1"/>
  <c r="I37" i="1"/>
  <c r="I60" i="1"/>
  <c r="I31" i="1"/>
  <c r="I35" i="1"/>
  <c r="I47" i="1"/>
  <c r="I52" i="1"/>
  <c r="I48" i="1"/>
  <c r="I50" i="1"/>
  <c r="I54" i="1"/>
  <c r="I53" i="1"/>
  <c r="I49" i="1"/>
  <c r="I46" i="1"/>
  <c r="I51" i="1"/>
  <c r="I59" i="1"/>
  <c r="I17" i="1"/>
  <c r="I5" i="1"/>
  <c r="I16" i="1"/>
  <c r="I12" i="1"/>
  <c r="I4" i="1"/>
  <c r="I19" i="1"/>
  <c r="I18" i="1"/>
  <c r="I11" i="1"/>
  <c r="I57" i="1"/>
  <c r="I10" i="1"/>
  <c r="I3" i="1"/>
  <c r="I9" i="1"/>
  <c r="I2" i="1"/>
  <c r="I42" i="1"/>
  <c r="I41" i="1"/>
  <c r="I21" i="1"/>
  <c r="I22" i="1"/>
  <c r="I20" i="1"/>
  <c r="I62" i="1"/>
  <c r="I34" i="1"/>
  <c r="I30" i="1"/>
</calcChain>
</file>

<file path=xl/sharedStrings.xml><?xml version="1.0" encoding="utf-8"?>
<sst xmlns="http://schemas.openxmlformats.org/spreadsheetml/2006/main" count="953" uniqueCount="172">
  <si>
    <t>NAME</t>
  </si>
  <si>
    <t>POSITION ID</t>
  </si>
  <si>
    <t>POLICY NAME</t>
  </si>
  <si>
    <t>REASON CODE</t>
  </si>
  <si>
    <t>SUBMISSION DATE</t>
  </si>
  <si>
    <t>TIME OFF REQUEST DATE</t>
  </si>
  <si>
    <t>SUBMITTED BY</t>
  </si>
  <si>
    <t>START TIME</t>
  </si>
  <si>
    <t>DURATION</t>
  </si>
  <si>
    <t>DAYS/HOURS</t>
  </si>
  <si>
    <t>REQUEST STATUS</t>
  </si>
  <si>
    <t>LAST REVIEWER'S NAME</t>
  </si>
  <si>
    <t>LAST REVIEW DATE</t>
  </si>
  <si>
    <t>COMMENTS</t>
  </si>
  <si>
    <t>NOTES</t>
  </si>
  <si>
    <t>Paid Time Off (PTO)</t>
  </si>
  <si>
    <t>PTO</t>
  </si>
  <si>
    <t>8:00 AM</t>
  </si>
  <si>
    <t>Hours</t>
  </si>
  <si>
    <t>Approved</t>
  </si>
  <si>
    <t/>
  </si>
  <si>
    <t>01/27/2025</t>
  </si>
  <si>
    <t>02/17/2025</t>
  </si>
  <si>
    <t>No Comments</t>
  </si>
  <si>
    <t>02/18/2025</t>
  </si>
  <si>
    <t>03/24/2025</t>
  </si>
  <si>
    <t>03/27/2025</t>
  </si>
  <si>
    <t>03/31/2025</t>
  </si>
  <si>
    <t>04/01/2025</t>
  </si>
  <si>
    <t>01/05/2025</t>
  </si>
  <si>
    <t>01/21/2025</t>
  </si>
  <si>
    <t>01/23/2025</t>
  </si>
  <si>
    <t>01/22/2025</t>
  </si>
  <si>
    <t>Day In Lieu</t>
  </si>
  <si>
    <t>03/04/2025</t>
  </si>
  <si>
    <t>02/24/2025</t>
  </si>
  <si>
    <t>For previous weekend worked</t>
  </si>
  <si>
    <t>Canceled</t>
  </si>
  <si>
    <t>01/03/2025</t>
  </si>
  <si>
    <t>01/02/2025</t>
  </si>
  <si>
    <t>10/22/2024</t>
  </si>
  <si>
    <t>10/28/2024</t>
  </si>
  <si>
    <t>Canceled due to policy unassignment.</t>
  </si>
  <si>
    <t>03/17/2025</t>
  </si>
  <si>
    <t>03/25/2025</t>
  </si>
  <si>
    <t>Floating Holiday</t>
  </si>
  <si>
    <t>12:00 PM</t>
  </si>
  <si>
    <t>12/31/2024</t>
  </si>
  <si>
    <t>9:00 AM</t>
  </si>
  <si>
    <t>01/07/2025</t>
  </si>
  <si>
    <t>04/03/2025</t>
  </si>
  <si>
    <t>01/06/2025</t>
  </si>
  <si>
    <t>03/18/2025</t>
  </si>
  <si>
    <t>03/21/2025</t>
  </si>
  <si>
    <t>03/22/2025</t>
  </si>
  <si>
    <t>02/03/2025</t>
  </si>
  <si>
    <t>03/12/2025</t>
  </si>
  <si>
    <t>02/14/2025</t>
  </si>
  <si>
    <t>03/11/2025</t>
  </si>
  <si>
    <t>Requested editing</t>
  </si>
  <si>
    <t>03/05/2025</t>
  </si>
  <si>
    <t>03/10/2025</t>
  </si>
  <si>
    <t>03/13/2025</t>
  </si>
  <si>
    <t>03/07/2025</t>
  </si>
  <si>
    <t>03/06/2025</t>
  </si>
  <si>
    <t>02/19/2025</t>
  </si>
  <si>
    <t>02/20/2025</t>
  </si>
  <si>
    <t>01/08/2025</t>
  </si>
  <si>
    <t>02/13/2025</t>
  </si>
  <si>
    <t>01/14/2025</t>
  </si>
  <si>
    <t>02/21/2025</t>
  </si>
  <si>
    <t>01/31/2025</t>
  </si>
  <si>
    <t>PTO for Birthday Ski Trip;PTO for Birthday Ski Trip
No Comments</t>
  </si>
  <si>
    <t>01/30/2025</t>
  </si>
  <si>
    <t>01/29/2025</t>
  </si>
  <si>
    <t>02/28/2025</t>
  </si>
  <si>
    <t>03/14/2025</t>
  </si>
  <si>
    <t>03/03/2025</t>
  </si>
  <si>
    <t>04/02/2025</t>
  </si>
  <si>
    <t>10/03/2024</t>
  </si>
  <si>
    <t>04/04/2025</t>
  </si>
  <si>
    <t>10/17/2024</t>
  </si>
  <si>
    <t>sick</t>
  </si>
  <si>
    <t>02/27/2025</t>
  </si>
  <si>
    <t>Out of town for funeral
No Comments</t>
  </si>
  <si>
    <t>01/13/2025</t>
  </si>
  <si>
    <t>No Comments
Don't need this day anymore.  Thank you</t>
  </si>
  <si>
    <t>02/10/2025</t>
  </si>
  <si>
    <t>02/11/2025</t>
  </si>
  <si>
    <t>Error</t>
  </si>
  <si>
    <t>12/15/2024</t>
  </si>
  <si>
    <t>7:00 AM</t>
  </si>
  <si>
    <t>Report Totals:</t>
  </si>
  <si>
    <r>
      <rPr>
        <sz val="17"/>
        <color rgb="FF808080"/>
        <rFont val="Noto Sans"/>
      </rPr>
      <t>Time Off Request</t>
    </r>
  </si>
  <si>
    <r>
      <rPr>
        <b/>
        <sz val="10"/>
        <color rgb="FF808080"/>
        <rFont val="Noto Sans"/>
      </rPr>
      <t>Created on: 12/19/2025</t>
    </r>
  </si>
  <si>
    <r>
      <rPr>
        <b/>
        <sz val="12"/>
        <color rgb="FF808080"/>
        <rFont val="Noto Sans"/>
      </rPr>
      <t>Report Runtime Settings    </t>
    </r>
    <r>
      <rPr>
        <sz val="12"/>
        <color rgb="FF808080"/>
        <rFont val="Noto Sans"/>
      </rPr>
      <t>The following settings were used to create this report</t>
    </r>
  </si>
  <si>
    <r>
      <rPr>
        <b/>
        <sz val="12"/>
        <color rgb="FF000000"/>
        <rFont val="Noto Sans"/>
      </rPr>
      <t>Employees Included</t>
    </r>
  </si>
  <si>
    <t>Employee List</t>
  </si>
  <si>
    <r>
      <rPr>
        <b/>
        <sz val="10"/>
        <color rgb="FF000000"/>
        <rFont val="Noto Sans"/>
      </rPr>
      <t>All Active Employees</t>
    </r>
  </si>
  <si>
    <t>Company Codes</t>
  </si>
  <si>
    <r>
      <rPr>
        <b/>
        <sz val="10"/>
        <color rgb="FF000000"/>
        <rFont val="Noto Sans"/>
      </rPr>
      <t>R2X-JAG CONSULTING OF FL</t>
    </r>
  </si>
  <si>
    <t>Home Departments</t>
  </si>
  <si>
    <r>
      <rPr>
        <b/>
        <sz val="10"/>
        <color rgb="FF000000"/>
        <rFont val="Noto Sans"/>
      </rPr>
      <t>All Home Departments</t>
    </r>
  </si>
  <si>
    <t>Locations</t>
  </si>
  <si>
    <r>
      <rPr>
        <b/>
        <sz val="10"/>
        <color rgb="FF000000"/>
        <rFont val="Noto Sans"/>
      </rPr>
      <t>All Locations</t>
    </r>
  </si>
  <si>
    <t>Business Units</t>
  </si>
  <si>
    <r>
      <rPr>
        <b/>
        <sz val="10"/>
        <color rgb="FF000000"/>
        <rFont val="Noto Sans"/>
      </rPr>
      <t>All Business Units</t>
    </r>
  </si>
  <si>
    <t>Home Cost Numbers</t>
  </si>
  <si>
    <r>
      <rPr>
        <b/>
        <sz val="10"/>
        <color rgb="FF000000"/>
        <rFont val="Noto Sans"/>
      </rPr>
      <t>All Home Cost Numbers</t>
    </r>
  </si>
  <si>
    <t>Request Period</t>
  </si>
  <si>
    <r>
      <rPr>
        <b/>
        <sz val="10"/>
        <color rgb="FF000000"/>
        <rFont val="Noto Sans"/>
      </rPr>
      <t>Year-to-Date</t>
    </r>
  </si>
  <si>
    <t>Time Off Policies</t>
  </si>
  <si>
    <r>
      <rPr>
        <b/>
        <sz val="10"/>
        <color rgb="FF000000"/>
        <rFont val="Noto Sans"/>
      </rPr>
      <t>All time Off Policies</t>
    </r>
  </si>
  <si>
    <t>Request Status</t>
  </si>
  <si>
    <r>
      <rPr>
        <b/>
        <sz val="10"/>
        <color rgb="FF000000"/>
        <rFont val="Noto Sans"/>
      </rPr>
      <t>All Request Status</t>
    </r>
  </si>
  <si>
    <r>
      <rPr>
        <sz val="10"/>
        <color rgb="FF808080"/>
        <rFont val="Noto Sans"/>
      </rPr>
      <t>Archived employees are NOT included</t>
    </r>
  </si>
  <si>
    <r>
      <rPr>
        <sz val="10"/>
        <color rgb="FF808080"/>
        <rFont val="Noto Sans"/>
      </rPr>
      <t>Employees with payroll history are NOT included</t>
    </r>
  </si>
  <si>
    <t>Fields Included</t>
  </si>
  <si>
    <r>
      <rPr>
        <sz val="10"/>
        <color rgb="FF808080"/>
        <rFont val="Noto Sans"/>
      </rPr>
      <t>Name, Position ID, Policy Name, Reason Code, Submission Date, Time Off Request Date, Submitted By, Start Time, Duration, Request Status, Last Reviewer's Name, Last Review Date, Comments, Notes</t>
    </r>
  </si>
  <si>
    <t>Sort Order</t>
  </si>
  <si>
    <r>
      <rPr>
        <sz val="10"/>
        <color rgb="FF808080"/>
        <rFont val="Noto Sans"/>
      </rPr>
      <t>Name</t>
    </r>
  </si>
  <si>
    <t>Group By</t>
  </si>
  <si>
    <t>Display Options</t>
  </si>
  <si>
    <r>
      <rPr>
        <sz val="10"/>
        <color rgb="FF808080"/>
        <rFont val="Noto Sans"/>
      </rPr>
      <t>Employee Information displayed as of 12/19/2025</t>
    </r>
  </si>
  <si>
    <t>Note</t>
  </si>
  <si>
    <t>Time Off Request</t>
  </si>
  <si>
    <t>Run Date:12/19/2025 04:30 PM EST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</si>
  <si>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</si>
  <si>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</si>
  <si>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</si>
  <si>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</si>
  <si>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</si>
  <si>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</si>
  <si>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</si>
  <si>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</si>
  <si>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</si>
  <si>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</si>
  <si>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</si>
  <si>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</si>
  <si>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14</t>
  </si>
  <si>
    <t>Employee 16</t>
  </si>
  <si>
    <t>Employee 19</t>
  </si>
  <si>
    <t>Employee 20</t>
  </si>
  <si>
    <t>Employee 24</t>
  </si>
  <si>
    <t>Employee 28</t>
  </si>
  <si>
    <t>Employee 29</t>
  </si>
  <si>
    <t>Initially requested by EMPLOYEE on 12/15/2024 under previous PTO policy. SB</t>
  </si>
  <si>
    <t>Per EMPLOYEE's timecard</t>
  </si>
  <si>
    <t>Per EMPLOYEE's timecard
Should be a day in lieu</t>
  </si>
  <si>
    <t>Initially submitted by EMPLOYEE on 10/3/2024 under previous PTO policy. SB
will need to shift this to May; dates tbd</t>
  </si>
  <si>
    <t>This was approved by EMPLOYEE, but forgot to add to my ADP. 3/10 - 3/12.</t>
  </si>
  <si>
    <t>I am travelling to LOCATION to visit family.
No Comments</t>
  </si>
  <si>
    <t>EXA010041</t>
  </si>
  <si>
    <t>EXA010037</t>
  </si>
  <si>
    <t>EXA010038</t>
  </si>
  <si>
    <t>EXA010002</t>
  </si>
  <si>
    <t>EXA010072</t>
  </si>
  <si>
    <t>EXA010025</t>
  </si>
  <si>
    <t>EXA010013</t>
  </si>
  <si>
    <t>EXA010070</t>
  </si>
  <si>
    <t>EXA010062</t>
  </si>
  <si>
    <t>EXA010016</t>
  </si>
  <si>
    <t>EXA010012</t>
  </si>
  <si>
    <t>EXA010004</t>
  </si>
  <si>
    <t>EXA010071</t>
  </si>
  <si>
    <t>EXA010068</t>
  </si>
  <si>
    <t>EXA010007</t>
  </si>
  <si>
    <t>EXA010054</t>
  </si>
  <si>
    <t>EXA010003</t>
  </si>
  <si>
    <t>EXA010057</t>
  </si>
  <si>
    <t>67 Time Off Request(s)</t>
  </si>
  <si>
    <t>Employee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</si>
</sst>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"/>
  </numFmts>
  <fonts count="14">
    <font>
      <sz val="11"/>
      <color theme="1"/>
      <name val="Calibri"/>
    </font>
    <font>
      <b/>
      <sz val="9"/>
      <color rgb="FFFFFFFF"/>
      <name val="Noto Sans"/>
    </font>
    <font>
      <sz val="9"/>
      <color rgb="FF000000"/>
      <name val="Noto Sans"/>
    </font>
    <font>
      <sz val="17"/>
      <color rgb="FF808080"/>
      <name val="Noto Sans"/>
    </font>
    <font>
      <b/>
      <sz val="10"/>
      <color rgb="FF808080"/>
      <name val="Noto Sans"/>
    </font>
    <font>
      <b/>
      <sz val="12"/>
      <color rgb="FF808080"/>
      <name val="Noto Sans"/>
    </font>
    <font>
      <sz val="2"/>
      <color rgb="FF000000"/>
      <name val="Serif"/>
      <family val="1"/>
    </font>
    <font>
      <b/>
      <sz val="12"/>
      <color rgb="FF000000"/>
      <name val="Noto Sans"/>
    </font>
    <font>
      <sz val="10"/>
      <color rgb="FF000000"/>
      <name val="Serif"/>
      <family val="1"/>
    </font>
    <font>
      <sz val="10"/>
      <color rgb="FF808080"/>
      <name val="Noto Sans"/>
    </font>
    <font>
      <b/>
      <sz val="10"/>
      <color rgb="FF000000"/>
      <name val="Noto Sans"/>
    </font>
    <font>
      <sz val="9"/>
      <color rgb="FF808080"/>
      <name val="Noto Sans"/>
    </font>
    <font>
      <sz val="12"/>
      <color rgb="FF808080"/>
      <name val="Noto Sans"/>
    </font>
    <font>
      <sz val="9"/>
      <color rgb="FF000000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3EBEDE"/>
      </patternFill>
    </fill>
    <fill>
      <patternFill patternType="solid">
        <fgColor rgb="FF89E3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11" fillId="4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3" fillId="3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43"/>
  <sheetViews>
    <sheetView tabSelected="1" topLeftCell="A67" workbookViewId="0">
      <selection activeCell="A41" sqref="A41"/>
    </sheetView>
  </sheetViews>
  <sheetFormatPr defaultColWidth="9.140625" defaultRowHeight="15"/>
  <cols>
    <col min="1" max="1" width="20" customWidth="1"/>
    <col min="2" max="2" width="14.5703125" customWidth="1"/>
    <col min="3" max="3" width="24.140625" customWidth="1"/>
    <col min="4" max="8" width="17.28515625" customWidth="1"/>
    <col min="9" max="11" width="15.85546875" customWidth="1"/>
    <col min="12" max="12" width="20" customWidth="1"/>
    <col min="13" max="13" width="17.28515625" customWidth="1"/>
    <col min="14" max="15" width="18.7109375" customWidth="1"/>
  </cols>
  <sheetData>
    <row r="1" spans="1:15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128</v>
      </c>
      <c r="B2" s="3" t="s">
        <v>152</v>
      </c>
      <c r="C2" s="3" t="s">
        <v>15</v>
      </c>
      <c r="D2" s="3" t="s">
        <v>16</v>
      </c>
      <c r="E2" s="3" t="s">
        <v>38</v>
      </c>
      <c r="F2" s="3" t="s">
        <v>39</v>
      </c>
      <c r="G2" s="3" t="s">
        <v>127</v>
      </c>
      <c r="H2" s="3" t="s">
        <v>17</v>
      </c>
      <c r="I2" s="4">
        <f t="shared" ref="I2:I30" si="0">ROUND(8,2)</f>
        <v>8</v>
      </c>
      <c r="J2" s="3" t="s">
        <v>18</v>
      </c>
      <c r="K2" s="5" t="s">
        <v>19</v>
      </c>
      <c r="L2" s="3" t="s">
        <v>127</v>
      </c>
      <c r="M2" s="3" t="s">
        <v>38</v>
      </c>
      <c r="N2" s="3" t="s">
        <v>20</v>
      </c>
      <c r="O2" s="3"/>
    </row>
    <row r="3" spans="1:15" ht="28.5">
      <c r="A3" s="3" t="s">
        <v>128</v>
      </c>
      <c r="B3" s="3" t="s">
        <v>152</v>
      </c>
      <c r="C3" s="3" t="s">
        <v>16</v>
      </c>
      <c r="D3" s="3" t="s">
        <v>16</v>
      </c>
      <c r="E3" s="3" t="s">
        <v>40</v>
      </c>
      <c r="F3" s="3" t="s">
        <v>39</v>
      </c>
      <c r="G3" s="3" t="s">
        <v>128</v>
      </c>
      <c r="H3" s="3" t="s">
        <v>17</v>
      </c>
      <c r="I3" s="4">
        <f t="shared" si="0"/>
        <v>8</v>
      </c>
      <c r="J3" s="3" t="s">
        <v>18</v>
      </c>
      <c r="K3" s="5" t="s">
        <v>37</v>
      </c>
      <c r="L3" s="3" t="s">
        <v>127</v>
      </c>
      <c r="M3" s="3" t="s">
        <v>41</v>
      </c>
      <c r="N3" s="3" t="s">
        <v>42</v>
      </c>
      <c r="O3" s="3"/>
    </row>
    <row r="4" spans="1:15" ht="28.5">
      <c r="A4" s="3" t="s">
        <v>129</v>
      </c>
      <c r="B4" s="3" t="s">
        <v>153</v>
      </c>
      <c r="C4" s="3" t="s">
        <v>16</v>
      </c>
      <c r="D4" s="3" t="s">
        <v>16</v>
      </c>
      <c r="E4" s="3" t="s">
        <v>47</v>
      </c>
      <c r="F4" s="3" t="s">
        <v>39</v>
      </c>
      <c r="G4" s="3" t="s">
        <v>129</v>
      </c>
      <c r="H4" s="3" t="s">
        <v>48</v>
      </c>
      <c r="I4" s="4">
        <f t="shared" si="0"/>
        <v>8</v>
      </c>
      <c r="J4" s="3" t="s">
        <v>18</v>
      </c>
      <c r="K4" s="5" t="s">
        <v>37</v>
      </c>
      <c r="L4" s="3"/>
      <c r="M4" s="3" t="s">
        <v>47</v>
      </c>
      <c r="N4" s="3" t="s">
        <v>42</v>
      </c>
      <c r="O4" s="3"/>
    </row>
    <row r="5" spans="1:15">
      <c r="A5" s="3" t="s">
        <v>129</v>
      </c>
      <c r="B5" s="3" t="s">
        <v>153</v>
      </c>
      <c r="C5" s="3" t="s">
        <v>15</v>
      </c>
      <c r="D5" s="3" t="s">
        <v>16</v>
      </c>
      <c r="E5" s="3" t="s">
        <v>38</v>
      </c>
      <c r="F5" s="3" t="s">
        <v>39</v>
      </c>
      <c r="G5" s="3" t="s">
        <v>127</v>
      </c>
      <c r="H5" s="3" t="s">
        <v>17</v>
      </c>
      <c r="I5" s="4">
        <f t="shared" si="0"/>
        <v>8</v>
      </c>
      <c r="J5" s="3" t="s">
        <v>18</v>
      </c>
      <c r="K5" s="5" t="s">
        <v>19</v>
      </c>
      <c r="L5" s="3" t="s">
        <v>127</v>
      </c>
      <c r="M5" s="3" t="s">
        <v>38</v>
      </c>
      <c r="N5" s="3" t="s">
        <v>20</v>
      </c>
      <c r="O5" s="3"/>
    </row>
    <row r="6" spans="1:15">
      <c r="A6" s="3" t="s">
        <v>130</v>
      </c>
      <c r="B6" s="3" t="s">
        <v>154</v>
      </c>
      <c r="C6" s="3" t="s">
        <v>15</v>
      </c>
      <c r="D6" s="3" t="s">
        <v>16</v>
      </c>
      <c r="E6" s="3" t="s">
        <v>38</v>
      </c>
      <c r="F6" s="3" t="s">
        <v>39</v>
      </c>
      <c r="G6" s="3" t="s">
        <v>127</v>
      </c>
      <c r="H6" s="3" t="s">
        <v>17</v>
      </c>
      <c r="I6" s="4">
        <f t="shared" si="0"/>
        <v>8</v>
      </c>
      <c r="J6" s="3" t="s">
        <v>18</v>
      </c>
      <c r="K6" s="5" t="s">
        <v>37</v>
      </c>
      <c r="L6" s="3" t="s">
        <v>127</v>
      </c>
      <c r="M6" s="3" t="s">
        <v>38</v>
      </c>
      <c r="N6" s="3" t="s">
        <v>89</v>
      </c>
      <c r="O6" s="3"/>
    </row>
    <row r="7" spans="1:15" ht="71.25">
      <c r="A7" s="3" t="s">
        <v>131</v>
      </c>
      <c r="B7" s="3" t="s">
        <v>155</v>
      </c>
      <c r="C7" s="3" t="s">
        <v>15</v>
      </c>
      <c r="D7" s="3" t="s">
        <v>16</v>
      </c>
      <c r="E7" s="3" t="s">
        <v>38</v>
      </c>
      <c r="F7" s="3" t="s">
        <v>39</v>
      </c>
      <c r="G7" s="3" t="s">
        <v>127</v>
      </c>
      <c r="H7" s="3" t="s">
        <v>17</v>
      </c>
      <c r="I7" s="4">
        <f t="shared" si="0"/>
        <v>8</v>
      </c>
      <c r="J7" s="3" t="s">
        <v>18</v>
      </c>
      <c r="K7" s="5" t="s">
        <v>19</v>
      </c>
      <c r="L7" s="3" t="s">
        <v>127</v>
      </c>
      <c r="M7" s="3" t="s">
        <v>38</v>
      </c>
      <c r="N7" s="3" t="s">
        <v>146</v>
      </c>
      <c r="O7" s="3"/>
    </row>
    <row r="8" spans="1:15" ht="28.5">
      <c r="A8" s="3" t="s">
        <v>131</v>
      </c>
      <c r="B8" s="3" t="s">
        <v>155</v>
      </c>
      <c r="C8" s="3" t="s">
        <v>16</v>
      </c>
      <c r="D8" s="3" t="s">
        <v>16</v>
      </c>
      <c r="E8" s="3" t="s">
        <v>90</v>
      </c>
      <c r="F8" s="3" t="s">
        <v>39</v>
      </c>
      <c r="G8" s="3" t="s">
        <v>131</v>
      </c>
      <c r="H8" s="3" t="s">
        <v>91</v>
      </c>
      <c r="I8" s="4">
        <f t="shared" si="0"/>
        <v>8</v>
      </c>
      <c r="J8" s="3" t="s">
        <v>18</v>
      </c>
      <c r="K8" s="5" t="s">
        <v>37</v>
      </c>
      <c r="L8" s="3"/>
      <c r="M8" s="3" t="s">
        <v>90</v>
      </c>
      <c r="N8" s="3" t="s">
        <v>42</v>
      </c>
      <c r="O8" s="3"/>
    </row>
    <row r="9" spans="1:15">
      <c r="A9" s="3" t="s">
        <v>128</v>
      </c>
      <c r="B9" s="3" t="s">
        <v>152</v>
      </c>
      <c r="C9" s="3" t="s">
        <v>15</v>
      </c>
      <c r="D9" s="3" t="s">
        <v>16</v>
      </c>
      <c r="E9" s="3" t="s">
        <v>38</v>
      </c>
      <c r="F9" s="3" t="s">
        <v>38</v>
      </c>
      <c r="G9" s="3" t="s">
        <v>127</v>
      </c>
      <c r="H9" s="3" t="s">
        <v>17</v>
      </c>
      <c r="I9" s="4">
        <f t="shared" si="0"/>
        <v>8</v>
      </c>
      <c r="J9" s="3" t="s">
        <v>18</v>
      </c>
      <c r="K9" s="5" t="s">
        <v>19</v>
      </c>
      <c r="L9" s="3" t="s">
        <v>127</v>
      </c>
      <c r="M9" s="3" t="s">
        <v>38</v>
      </c>
      <c r="N9" s="3" t="s">
        <v>20</v>
      </c>
      <c r="O9" s="3"/>
    </row>
    <row r="10" spans="1:15" ht="28.5">
      <c r="A10" s="3" t="s">
        <v>128</v>
      </c>
      <c r="B10" s="3" t="s">
        <v>152</v>
      </c>
      <c r="C10" s="3" t="s">
        <v>16</v>
      </c>
      <c r="D10" s="3" t="s">
        <v>16</v>
      </c>
      <c r="E10" s="3" t="s">
        <v>40</v>
      </c>
      <c r="F10" s="3" t="s">
        <v>38</v>
      </c>
      <c r="G10" s="3" t="s">
        <v>128</v>
      </c>
      <c r="H10" s="3" t="s">
        <v>17</v>
      </c>
      <c r="I10" s="4">
        <f t="shared" si="0"/>
        <v>8</v>
      </c>
      <c r="J10" s="3" t="s">
        <v>18</v>
      </c>
      <c r="K10" s="5" t="s">
        <v>37</v>
      </c>
      <c r="L10" s="3" t="s">
        <v>127</v>
      </c>
      <c r="M10" s="3" t="s">
        <v>41</v>
      </c>
      <c r="N10" s="3" t="s">
        <v>42</v>
      </c>
      <c r="O10" s="3"/>
    </row>
    <row r="11" spans="1:15" ht="28.5">
      <c r="A11" s="3" t="s">
        <v>129</v>
      </c>
      <c r="B11" s="3" t="s">
        <v>153</v>
      </c>
      <c r="C11" s="3" t="s">
        <v>16</v>
      </c>
      <c r="D11" s="3" t="s">
        <v>16</v>
      </c>
      <c r="E11" s="3" t="s">
        <v>47</v>
      </c>
      <c r="F11" s="3" t="s">
        <v>38</v>
      </c>
      <c r="G11" s="3" t="s">
        <v>129</v>
      </c>
      <c r="H11" s="3" t="s">
        <v>48</v>
      </c>
      <c r="I11" s="4">
        <f t="shared" si="0"/>
        <v>8</v>
      </c>
      <c r="J11" s="3" t="s">
        <v>18</v>
      </c>
      <c r="K11" s="5" t="s">
        <v>37</v>
      </c>
      <c r="L11" s="3"/>
      <c r="M11" s="3" t="s">
        <v>47</v>
      </c>
      <c r="N11" s="3" t="s">
        <v>42</v>
      </c>
      <c r="O11" s="3"/>
    </row>
    <row r="12" spans="1:15">
      <c r="A12" s="3" t="s">
        <v>129</v>
      </c>
      <c r="B12" s="3" t="s">
        <v>153</v>
      </c>
      <c r="C12" s="3" t="s">
        <v>15</v>
      </c>
      <c r="D12" s="3" t="s">
        <v>16</v>
      </c>
      <c r="E12" s="3" t="s">
        <v>38</v>
      </c>
      <c r="F12" s="3" t="s">
        <v>38</v>
      </c>
      <c r="G12" s="3" t="s">
        <v>127</v>
      </c>
      <c r="H12" s="3" t="s">
        <v>17</v>
      </c>
      <c r="I12" s="4">
        <f t="shared" si="0"/>
        <v>8</v>
      </c>
      <c r="J12" s="3" t="s">
        <v>18</v>
      </c>
      <c r="K12" s="5" t="s">
        <v>19</v>
      </c>
      <c r="L12" s="3" t="s">
        <v>127</v>
      </c>
      <c r="M12" s="3" t="s">
        <v>38</v>
      </c>
      <c r="N12" s="3" t="s">
        <v>20</v>
      </c>
      <c r="O12" s="3"/>
    </row>
    <row r="13" spans="1:15">
      <c r="A13" s="3" t="s">
        <v>130</v>
      </c>
      <c r="B13" s="3" t="s">
        <v>154</v>
      </c>
      <c r="C13" s="3" t="s">
        <v>15</v>
      </c>
      <c r="D13" s="3" t="s">
        <v>16</v>
      </c>
      <c r="E13" s="3" t="s">
        <v>38</v>
      </c>
      <c r="F13" s="3" t="s">
        <v>38</v>
      </c>
      <c r="G13" s="3" t="s">
        <v>127</v>
      </c>
      <c r="H13" s="3" t="s">
        <v>17</v>
      </c>
      <c r="I13" s="4">
        <f t="shared" si="0"/>
        <v>8</v>
      </c>
      <c r="J13" s="3" t="s">
        <v>18</v>
      </c>
      <c r="K13" s="5" t="s">
        <v>37</v>
      </c>
      <c r="L13" s="3" t="s">
        <v>127</v>
      </c>
      <c r="M13" s="3" t="s">
        <v>38</v>
      </c>
      <c r="N13" s="3" t="s">
        <v>89</v>
      </c>
      <c r="O13" s="3"/>
    </row>
    <row r="14" spans="1:15" ht="28.5">
      <c r="A14" s="3" t="s">
        <v>131</v>
      </c>
      <c r="B14" s="3" t="s">
        <v>155</v>
      </c>
      <c r="C14" s="3" t="s">
        <v>16</v>
      </c>
      <c r="D14" s="3" t="s">
        <v>16</v>
      </c>
      <c r="E14" s="3" t="s">
        <v>90</v>
      </c>
      <c r="F14" s="3" t="s">
        <v>38</v>
      </c>
      <c r="G14" s="3" t="s">
        <v>131</v>
      </c>
      <c r="H14" s="3" t="s">
        <v>91</v>
      </c>
      <c r="I14" s="4">
        <f t="shared" si="0"/>
        <v>8</v>
      </c>
      <c r="J14" s="3" t="s">
        <v>18</v>
      </c>
      <c r="K14" s="5" t="s">
        <v>37</v>
      </c>
      <c r="L14" s="3"/>
      <c r="M14" s="3" t="s">
        <v>90</v>
      </c>
      <c r="N14" s="3" t="s">
        <v>42</v>
      </c>
      <c r="O14" s="3"/>
    </row>
    <row r="15" spans="1:15" ht="71.25">
      <c r="A15" s="3" t="s">
        <v>131</v>
      </c>
      <c r="B15" s="3" t="s">
        <v>155</v>
      </c>
      <c r="C15" s="3" t="s">
        <v>15</v>
      </c>
      <c r="D15" s="3" t="s">
        <v>16</v>
      </c>
      <c r="E15" s="3" t="s">
        <v>38</v>
      </c>
      <c r="F15" s="3" t="s">
        <v>38</v>
      </c>
      <c r="G15" s="3" t="s">
        <v>127</v>
      </c>
      <c r="H15" s="3" t="s">
        <v>17</v>
      </c>
      <c r="I15" s="4">
        <f t="shared" si="0"/>
        <v>8</v>
      </c>
      <c r="J15" s="3" t="s">
        <v>18</v>
      </c>
      <c r="K15" s="5" t="s">
        <v>19</v>
      </c>
      <c r="L15" s="3" t="s">
        <v>127</v>
      </c>
      <c r="M15" s="3" t="s">
        <v>38</v>
      </c>
      <c r="N15" s="3" t="s">
        <v>146</v>
      </c>
      <c r="O15" s="3"/>
    </row>
    <row r="16" spans="1:15">
      <c r="A16" s="3" t="s">
        <v>129</v>
      </c>
      <c r="B16" s="3" t="s">
        <v>153</v>
      </c>
      <c r="C16" s="3" t="s">
        <v>15</v>
      </c>
      <c r="D16" s="3" t="s">
        <v>16</v>
      </c>
      <c r="E16" s="3" t="s">
        <v>38</v>
      </c>
      <c r="F16" s="3" t="s">
        <v>51</v>
      </c>
      <c r="G16" s="3" t="s">
        <v>127</v>
      </c>
      <c r="H16" s="3" t="s">
        <v>17</v>
      </c>
      <c r="I16" s="4">
        <f t="shared" si="0"/>
        <v>8</v>
      </c>
      <c r="J16" s="3" t="s">
        <v>18</v>
      </c>
      <c r="K16" s="5" t="s">
        <v>19</v>
      </c>
      <c r="L16" s="3" t="s">
        <v>127</v>
      </c>
      <c r="M16" s="3" t="s">
        <v>38</v>
      </c>
      <c r="N16" s="3" t="s">
        <v>20</v>
      </c>
      <c r="O16" s="3"/>
    </row>
    <row r="17" spans="1:15" ht="28.5">
      <c r="A17" s="3" t="s">
        <v>129</v>
      </c>
      <c r="B17" s="3" t="s">
        <v>153</v>
      </c>
      <c r="C17" s="3" t="s">
        <v>16</v>
      </c>
      <c r="D17" s="3" t="s">
        <v>16</v>
      </c>
      <c r="E17" s="3" t="s">
        <v>47</v>
      </c>
      <c r="F17" s="3" t="s">
        <v>51</v>
      </c>
      <c r="G17" s="3" t="s">
        <v>129</v>
      </c>
      <c r="H17" s="3" t="s">
        <v>48</v>
      </c>
      <c r="I17" s="4">
        <f t="shared" si="0"/>
        <v>8</v>
      </c>
      <c r="J17" s="3" t="s">
        <v>18</v>
      </c>
      <c r="K17" s="5" t="s">
        <v>37</v>
      </c>
      <c r="L17" s="3"/>
      <c r="M17" s="3" t="s">
        <v>47</v>
      </c>
      <c r="N17" s="3" t="s">
        <v>42</v>
      </c>
      <c r="O17" s="3"/>
    </row>
    <row r="18" spans="1:15">
      <c r="A18" s="3" t="s">
        <v>129</v>
      </c>
      <c r="B18" s="3" t="s">
        <v>153</v>
      </c>
      <c r="C18" s="3" t="s">
        <v>15</v>
      </c>
      <c r="D18" s="3" t="s">
        <v>16</v>
      </c>
      <c r="E18" s="3" t="s">
        <v>38</v>
      </c>
      <c r="F18" s="3" t="s">
        <v>49</v>
      </c>
      <c r="G18" s="3" t="s">
        <v>127</v>
      </c>
      <c r="H18" s="3" t="s">
        <v>17</v>
      </c>
      <c r="I18" s="4">
        <f t="shared" si="0"/>
        <v>8</v>
      </c>
      <c r="J18" s="3" t="s">
        <v>18</v>
      </c>
      <c r="K18" s="5" t="s">
        <v>19</v>
      </c>
      <c r="L18" s="3" t="s">
        <v>127</v>
      </c>
      <c r="M18" s="3" t="s">
        <v>38</v>
      </c>
      <c r="N18" s="3" t="s">
        <v>20</v>
      </c>
      <c r="O18" s="3"/>
    </row>
    <row r="19" spans="1:15" ht="28.5">
      <c r="A19" s="3" t="s">
        <v>129</v>
      </c>
      <c r="B19" s="3" t="s">
        <v>153</v>
      </c>
      <c r="C19" s="3" t="s">
        <v>16</v>
      </c>
      <c r="D19" s="3" t="s">
        <v>16</v>
      </c>
      <c r="E19" s="3" t="s">
        <v>47</v>
      </c>
      <c r="F19" s="3" t="s">
        <v>49</v>
      </c>
      <c r="G19" s="3" t="s">
        <v>129</v>
      </c>
      <c r="H19" s="3" t="s">
        <v>48</v>
      </c>
      <c r="I19" s="4">
        <f t="shared" si="0"/>
        <v>8</v>
      </c>
      <c r="J19" s="3" t="s">
        <v>18</v>
      </c>
      <c r="K19" s="5" t="s">
        <v>37</v>
      </c>
      <c r="L19" s="3"/>
      <c r="M19" s="3" t="s">
        <v>47</v>
      </c>
      <c r="N19" s="3" t="s">
        <v>42</v>
      </c>
      <c r="O19" s="3"/>
    </row>
    <row r="20" spans="1:15" ht="57">
      <c r="A20" s="3" t="s">
        <v>132</v>
      </c>
      <c r="B20" s="3" t="s">
        <v>156</v>
      </c>
      <c r="C20" s="3" t="s">
        <v>15</v>
      </c>
      <c r="D20" s="3" t="s">
        <v>16</v>
      </c>
      <c r="E20" s="3" t="s">
        <v>29</v>
      </c>
      <c r="F20" s="3" t="s">
        <v>30</v>
      </c>
      <c r="G20" s="3" t="s">
        <v>132</v>
      </c>
      <c r="H20" s="3" t="s">
        <v>17</v>
      </c>
      <c r="I20" s="4">
        <f t="shared" si="0"/>
        <v>8</v>
      </c>
      <c r="J20" s="3" t="s">
        <v>18</v>
      </c>
      <c r="K20" s="5" t="s">
        <v>19</v>
      </c>
      <c r="L20" s="3" t="s">
        <v>127</v>
      </c>
      <c r="M20" s="3" t="s">
        <v>29</v>
      </c>
      <c r="N20" s="3" t="s">
        <v>151</v>
      </c>
      <c r="O20" s="3"/>
    </row>
    <row r="21" spans="1:15" ht="57">
      <c r="A21" s="3" t="s">
        <v>132</v>
      </c>
      <c r="B21" s="3" t="s">
        <v>156</v>
      </c>
      <c r="C21" s="3" t="s">
        <v>15</v>
      </c>
      <c r="D21" s="3" t="s">
        <v>16</v>
      </c>
      <c r="E21" s="3" t="s">
        <v>29</v>
      </c>
      <c r="F21" s="3" t="s">
        <v>32</v>
      </c>
      <c r="G21" s="3" t="s">
        <v>132</v>
      </c>
      <c r="H21" s="3" t="s">
        <v>17</v>
      </c>
      <c r="I21" s="4">
        <f t="shared" si="0"/>
        <v>8</v>
      </c>
      <c r="J21" s="3" t="s">
        <v>18</v>
      </c>
      <c r="K21" s="5" t="s">
        <v>19</v>
      </c>
      <c r="L21" s="3" t="s">
        <v>127</v>
      </c>
      <c r="M21" s="3" t="s">
        <v>29</v>
      </c>
      <c r="N21" s="3" t="s">
        <v>151</v>
      </c>
      <c r="O21" s="3"/>
    </row>
    <row r="22" spans="1:15" ht="57">
      <c r="A22" s="3" t="s">
        <v>132</v>
      </c>
      <c r="B22" s="3" t="s">
        <v>156</v>
      </c>
      <c r="C22" s="3" t="s">
        <v>15</v>
      </c>
      <c r="D22" s="3" t="s">
        <v>16</v>
      </c>
      <c r="E22" s="3" t="s">
        <v>29</v>
      </c>
      <c r="F22" s="3" t="s">
        <v>31</v>
      </c>
      <c r="G22" s="3" t="s">
        <v>132</v>
      </c>
      <c r="H22" s="3" t="s">
        <v>17</v>
      </c>
      <c r="I22" s="4">
        <f t="shared" si="0"/>
        <v>8</v>
      </c>
      <c r="J22" s="3" t="s">
        <v>18</v>
      </c>
      <c r="K22" s="5" t="s">
        <v>19</v>
      </c>
      <c r="L22" s="3" t="s">
        <v>127</v>
      </c>
      <c r="M22" s="3" t="s">
        <v>29</v>
      </c>
      <c r="N22" s="3" t="s">
        <v>151</v>
      </c>
      <c r="O22" s="3"/>
    </row>
    <row r="23" spans="1:15" ht="57">
      <c r="A23" s="3" t="s">
        <v>133</v>
      </c>
      <c r="B23" s="3" t="s">
        <v>157</v>
      </c>
      <c r="C23" s="3" t="s">
        <v>15</v>
      </c>
      <c r="D23" s="3" t="s">
        <v>16</v>
      </c>
      <c r="E23" s="3" t="s">
        <v>29</v>
      </c>
      <c r="F23" s="3" t="s">
        <v>74</v>
      </c>
      <c r="G23" s="3" t="s">
        <v>133</v>
      </c>
      <c r="H23" s="3" t="s">
        <v>48</v>
      </c>
      <c r="I23" s="4">
        <f t="shared" si="0"/>
        <v>8</v>
      </c>
      <c r="J23" s="3" t="s">
        <v>18</v>
      </c>
      <c r="K23" s="5" t="s">
        <v>19</v>
      </c>
      <c r="L23" s="3" t="s">
        <v>127</v>
      </c>
      <c r="M23" s="3" t="s">
        <v>29</v>
      </c>
      <c r="N23" s="3" t="s">
        <v>72</v>
      </c>
      <c r="O23" s="3"/>
    </row>
    <row r="24" spans="1:15" ht="57">
      <c r="A24" s="3" t="s">
        <v>133</v>
      </c>
      <c r="B24" s="3" t="s">
        <v>157</v>
      </c>
      <c r="C24" s="3" t="s">
        <v>15</v>
      </c>
      <c r="D24" s="3" t="s">
        <v>16</v>
      </c>
      <c r="E24" s="3" t="s">
        <v>29</v>
      </c>
      <c r="F24" s="3" t="s">
        <v>73</v>
      </c>
      <c r="G24" s="3" t="s">
        <v>133</v>
      </c>
      <c r="H24" s="3" t="s">
        <v>48</v>
      </c>
      <c r="I24" s="4">
        <f t="shared" si="0"/>
        <v>8</v>
      </c>
      <c r="J24" s="3" t="s">
        <v>18</v>
      </c>
      <c r="K24" s="5" t="s">
        <v>19</v>
      </c>
      <c r="L24" s="3" t="s">
        <v>127</v>
      </c>
      <c r="M24" s="3" t="s">
        <v>29</v>
      </c>
      <c r="N24" s="3" t="s">
        <v>72</v>
      </c>
      <c r="O24" s="3"/>
    </row>
    <row r="25" spans="1:15" ht="57">
      <c r="A25" s="3" t="s">
        <v>133</v>
      </c>
      <c r="B25" s="3" t="s">
        <v>157</v>
      </c>
      <c r="C25" s="3" t="s">
        <v>15</v>
      </c>
      <c r="D25" s="3" t="s">
        <v>16</v>
      </c>
      <c r="E25" s="3" t="s">
        <v>29</v>
      </c>
      <c r="F25" s="3" t="s">
        <v>71</v>
      </c>
      <c r="G25" s="3" t="s">
        <v>133</v>
      </c>
      <c r="H25" s="3" t="s">
        <v>48</v>
      </c>
      <c r="I25" s="4">
        <f t="shared" si="0"/>
        <v>8</v>
      </c>
      <c r="J25" s="3" t="s">
        <v>18</v>
      </c>
      <c r="K25" s="5" t="s">
        <v>19</v>
      </c>
      <c r="L25" s="3" t="s">
        <v>127</v>
      </c>
      <c r="M25" s="3" t="s">
        <v>29</v>
      </c>
      <c r="N25" s="3" t="s">
        <v>72</v>
      </c>
      <c r="O25" s="3"/>
    </row>
    <row r="26" spans="1:15" ht="42.75">
      <c r="A26" s="3" t="s">
        <v>134</v>
      </c>
      <c r="B26" s="3" t="s">
        <v>158</v>
      </c>
      <c r="C26" s="3" t="s">
        <v>15</v>
      </c>
      <c r="D26" s="3" t="s">
        <v>16</v>
      </c>
      <c r="E26" s="3" t="s">
        <v>85</v>
      </c>
      <c r="F26" s="3" t="s">
        <v>71</v>
      </c>
      <c r="G26" s="3" t="s">
        <v>134</v>
      </c>
      <c r="H26" s="3" t="s">
        <v>17</v>
      </c>
      <c r="I26" s="4">
        <f t="shared" si="0"/>
        <v>8</v>
      </c>
      <c r="J26" s="3" t="s">
        <v>18</v>
      </c>
      <c r="K26" s="5" t="s">
        <v>37</v>
      </c>
      <c r="L26" s="3" t="s">
        <v>127</v>
      </c>
      <c r="M26" s="3" t="s">
        <v>69</v>
      </c>
      <c r="N26" s="3" t="s">
        <v>86</v>
      </c>
      <c r="O26" s="3"/>
    </row>
    <row r="27" spans="1:15" ht="57">
      <c r="A27" s="3" t="s">
        <v>133</v>
      </c>
      <c r="B27" s="3" t="s">
        <v>157</v>
      </c>
      <c r="C27" s="3" t="s">
        <v>15</v>
      </c>
      <c r="D27" s="3" t="s">
        <v>16</v>
      </c>
      <c r="E27" s="3" t="s">
        <v>29</v>
      </c>
      <c r="F27" s="3" t="s">
        <v>55</v>
      </c>
      <c r="G27" s="3" t="s">
        <v>133</v>
      </c>
      <c r="H27" s="3" t="s">
        <v>48</v>
      </c>
      <c r="I27" s="4">
        <f t="shared" si="0"/>
        <v>8</v>
      </c>
      <c r="J27" s="3" t="s">
        <v>18</v>
      </c>
      <c r="K27" s="5" t="s">
        <v>19</v>
      </c>
      <c r="L27" s="3" t="s">
        <v>127</v>
      </c>
      <c r="M27" s="3" t="s">
        <v>29</v>
      </c>
      <c r="N27" s="3" t="s">
        <v>72</v>
      </c>
      <c r="O27" s="3"/>
    </row>
    <row r="28" spans="1:15">
      <c r="A28" s="3" t="s">
        <v>135</v>
      </c>
      <c r="B28" s="3" t="s">
        <v>159</v>
      </c>
      <c r="C28" s="3" t="s">
        <v>15</v>
      </c>
      <c r="D28" s="3" t="s">
        <v>16</v>
      </c>
      <c r="E28" s="3" t="s">
        <v>51</v>
      </c>
      <c r="F28" s="3" t="s">
        <v>68</v>
      </c>
      <c r="G28" s="3" t="s">
        <v>135</v>
      </c>
      <c r="H28" s="3" t="s">
        <v>17</v>
      </c>
      <c r="I28" s="4">
        <f t="shared" si="0"/>
        <v>8</v>
      </c>
      <c r="J28" s="3" t="s">
        <v>18</v>
      </c>
      <c r="K28" s="5" t="s">
        <v>37</v>
      </c>
      <c r="L28" s="3"/>
      <c r="M28" s="3" t="s">
        <v>20</v>
      </c>
      <c r="N28" s="3" t="s">
        <v>23</v>
      </c>
      <c r="O28" s="3"/>
    </row>
    <row r="29" spans="1:15">
      <c r="A29" s="3" t="s">
        <v>135</v>
      </c>
      <c r="B29" s="3" t="s">
        <v>159</v>
      </c>
      <c r="C29" s="3" t="s">
        <v>15</v>
      </c>
      <c r="D29" s="3" t="s">
        <v>16</v>
      </c>
      <c r="E29" s="3" t="s">
        <v>51</v>
      </c>
      <c r="F29" s="3" t="s">
        <v>57</v>
      </c>
      <c r="G29" s="3" t="s">
        <v>135</v>
      </c>
      <c r="H29" s="3" t="s">
        <v>17</v>
      </c>
      <c r="I29" s="4">
        <f t="shared" si="0"/>
        <v>8</v>
      </c>
      <c r="J29" s="3" t="s">
        <v>18</v>
      </c>
      <c r="K29" s="5" t="s">
        <v>19</v>
      </c>
      <c r="L29" s="3" t="s">
        <v>127</v>
      </c>
      <c r="M29" s="3" t="s">
        <v>67</v>
      </c>
      <c r="N29" s="3" t="s">
        <v>23</v>
      </c>
      <c r="O29" s="3"/>
    </row>
    <row r="30" spans="1:15">
      <c r="A30" s="3" t="s">
        <v>136</v>
      </c>
      <c r="B30" s="3" t="s">
        <v>160</v>
      </c>
      <c r="C30" s="3" t="s">
        <v>15</v>
      </c>
      <c r="D30" s="3" t="s">
        <v>16</v>
      </c>
      <c r="E30" s="3" t="s">
        <v>21</v>
      </c>
      <c r="F30" s="3" t="s">
        <v>22</v>
      </c>
      <c r="G30" s="3" t="s">
        <v>136</v>
      </c>
      <c r="H30" s="3" t="s">
        <v>17</v>
      </c>
      <c r="I30" s="4">
        <f t="shared" si="0"/>
        <v>8</v>
      </c>
      <c r="J30" s="3" t="s">
        <v>18</v>
      </c>
      <c r="K30" s="5" t="s">
        <v>19</v>
      </c>
      <c r="L30" s="3" t="s">
        <v>127</v>
      </c>
      <c r="M30" s="3" t="s">
        <v>21</v>
      </c>
      <c r="N30" s="3" t="s">
        <v>23</v>
      </c>
      <c r="O30" s="3"/>
    </row>
    <row r="31" spans="1:15" ht="28.5">
      <c r="A31" s="3" t="s">
        <v>137</v>
      </c>
      <c r="B31" s="3" t="s">
        <v>161</v>
      </c>
      <c r="C31" s="3" t="s">
        <v>15</v>
      </c>
      <c r="D31" s="3" t="s">
        <v>16</v>
      </c>
      <c r="E31" s="3" t="s">
        <v>34</v>
      </c>
      <c r="F31" s="3" t="s">
        <v>22</v>
      </c>
      <c r="G31" s="3" t="s">
        <v>127</v>
      </c>
      <c r="H31" s="3" t="s">
        <v>17</v>
      </c>
      <c r="I31" s="4">
        <f>ROUND(4,2)</f>
        <v>4</v>
      </c>
      <c r="J31" s="3" t="s">
        <v>18</v>
      </c>
      <c r="K31" s="5" t="s">
        <v>37</v>
      </c>
      <c r="L31" s="3" t="s">
        <v>127</v>
      </c>
      <c r="M31" s="3" t="s">
        <v>34</v>
      </c>
      <c r="N31" s="3" t="s">
        <v>147</v>
      </c>
      <c r="O31" s="3"/>
    </row>
    <row r="32" spans="1:15">
      <c r="A32" s="3" t="s">
        <v>135</v>
      </c>
      <c r="B32" s="3" t="s">
        <v>159</v>
      </c>
      <c r="C32" s="3" t="s">
        <v>15</v>
      </c>
      <c r="D32" s="3" t="s">
        <v>16</v>
      </c>
      <c r="E32" s="3" t="s">
        <v>51</v>
      </c>
      <c r="F32" s="3" t="s">
        <v>22</v>
      </c>
      <c r="G32" s="3" t="s">
        <v>135</v>
      </c>
      <c r="H32" s="3" t="s">
        <v>17</v>
      </c>
      <c r="I32" s="4">
        <f>ROUND(8,2)</f>
        <v>8</v>
      </c>
      <c r="J32" s="3" t="s">
        <v>18</v>
      </c>
      <c r="K32" s="5" t="s">
        <v>19</v>
      </c>
      <c r="L32" s="3" t="s">
        <v>127</v>
      </c>
      <c r="M32" s="3" t="s">
        <v>67</v>
      </c>
      <c r="N32" s="3" t="s">
        <v>23</v>
      </c>
      <c r="O32" s="3"/>
    </row>
    <row r="33" spans="1:15">
      <c r="A33" s="3" t="s">
        <v>130</v>
      </c>
      <c r="B33" s="3" t="s">
        <v>154</v>
      </c>
      <c r="C33" s="3" t="s">
        <v>45</v>
      </c>
      <c r="D33" s="3" t="s">
        <v>45</v>
      </c>
      <c r="E33" s="3" t="s">
        <v>68</v>
      </c>
      <c r="F33" s="3" t="s">
        <v>22</v>
      </c>
      <c r="G33" s="3" t="s">
        <v>130</v>
      </c>
      <c r="H33" s="3" t="s">
        <v>17</v>
      </c>
      <c r="I33" s="4">
        <f>ROUND(8,2)</f>
        <v>8</v>
      </c>
      <c r="J33" s="3" t="s">
        <v>18</v>
      </c>
      <c r="K33" s="5" t="s">
        <v>19</v>
      </c>
      <c r="L33" s="3" t="s">
        <v>127</v>
      </c>
      <c r="M33" s="3" t="s">
        <v>65</v>
      </c>
      <c r="N33" s="3" t="s">
        <v>23</v>
      </c>
      <c r="O33" s="3"/>
    </row>
    <row r="34" spans="1:15">
      <c r="A34" s="3" t="s">
        <v>136</v>
      </c>
      <c r="B34" s="3" t="s">
        <v>160</v>
      </c>
      <c r="C34" s="3" t="s">
        <v>15</v>
      </c>
      <c r="D34" s="3" t="s">
        <v>16</v>
      </c>
      <c r="E34" s="3" t="s">
        <v>21</v>
      </c>
      <c r="F34" s="3" t="s">
        <v>24</v>
      </c>
      <c r="G34" s="3" t="s">
        <v>136</v>
      </c>
      <c r="H34" s="3" t="s">
        <v>17</v>
      </c>
      <c r="I34" s="4">
        <f>ROUND(8,2)</f>
        <v>8</v>
      </c>
      <c r="J34" s="3" t="s">
        <v>18</v>
      </c>
      <c r="K34" s="5" t="s">
        <v>19</v>
      </c>
      <c r="L34" s="3" t="s">
        <v>127</v>
      </c>
      <c r="M34" s="3" t="s">
        <v>21</v>
      </c>
      <c r="N34" s="3" t="s">
        <v>23</v>
      </c>
      <c r="O34" s="3"/>
    </row>
    <row r="35" spans="1:15" ht="28.5">
      <c r="A35" s="3" t="s">
        <v>137</v>
      </c>
      <c r="B35" s="3" t="s">
        <v>161</v>
      </c>
      <c r="C35" s="3" t="s">
        <v>15</v>
      </c>
      <c r="D35" s="3" t="s">
        <v>16</v>
      </c>
      <c r="E35" s="3" t="s">
        <v>34</v>
      </c>
      <c r="F35" s="3" t="s">
        <v>24</v>
      </c>
      <c r="G35" s="3" t="s">
        <v>127</v>
      </c>
      <c r="H35" s="3" t="s">
        <v>17</v>
      </c>
      <c r="I35" s="4">
        <f>ROUND(24,2)</f>
        <v>24</v>
      </c>
      <c r="J35" s="3" t="s">
        <v>18</v>
      </c>
      <c r="K35" s="5" t="s">
        <v>37</v>
      </c>
      <c r="L35" s="3" t="s">
        <v>127</v>
      </c>
      <c r="M35" s="3" t="s">
        <v>34</v>
      </c>
      <c r="N35" s="3" t="s">
        <v>147</v>
      </c>
      <c r="O35" s="3"/>
    </row>
    <row r="36" spans="1:15">
      <c r="A36" s="3" t="s">
        <v>135</v>
      </c>
      <c r="B36" s="3" t="s">
        <v>159</v>
      </c>
      <c r="C36" s="3" t="s">
        <v>15</v>
      </c>
      <c r="D36" s="3" t="s">
        <v>16</v>
      </c>
      <c r="E36" s="3" t="s">
        <v>51</v>
      </c>
      <c r="F36" s="3" t="s">
        <v>24</v>
      </c>
      <c r="G36" s="3" t="s">
        <v>135</v>
      </c>
      <c r="H36" s="3" t="s">
        <v>17</v>
      </c>
      <c r="I36" s="4">
        <f>ROUND(8,2)</f>
        <v>8</v>
      </c>
      <c r="J36" s="3" t="s">
        <v>18</v>
      </c>
      <c r="K36" s="5" t="s">
        <v>37</v>
      </c>
      <c r="L36" s="3"/>
      <c r="M36" s="3" t="s">
        <v>20</v>
      </c>
      <c r="N36" s="3" t="s">
        <v>23</v>
      </c>
      <c r="O36" s="3"/>
    </row>
    <row r="37" spans="1:15" ht="28.5">
      <c r="A37" s="3" t="s">
        <v>137</v>
      </c>
      <c r="B37" s="3" t="s">
        <v>161</v>
      </c>
      <c r="C37" s="3" t="s">
        <v>15</v>
      </c>
      <c r="D37" s="3" t="s">
        <v>16</v>
      </c>
      <c r="E37" s="3" t="s">
        <v>34</v>
      </c>
      <c r="F37" s="3" t="s">
        <v>65</v>
      </c>
      <c r="G37" s="3" t="s">
        <v>127</v>
      </c>
      <c r="H37" s="3" t="s">
        <v>17</v>
      </c>
      <c r="I37" s="4">
        <f>ROUND(24,2)</f>
        <v>24</v>
      </c>
      <c r="J37" s="3" t="s">
        <v>18</v>
      </c>
      <c r="K37" s="5" t="s">
        <v>37</v>
      </c>
      <c r="L37" s="3" t="s">
        <v>127</v>
      </c>
      <c r="M37" s="3" t="s">
        <v>34</v>
      </c>
      <c r="N37" s="3" t="s">
        <v>147</v>
      </c>
      <c r="O37" s="3"/>
    </row>
    <row r="38" spans="1:15" ht="28.5">
      <c r="A38" s="3" t="s">
        <v>137</v>
      </c>
      <c r="B38" s="3" t="s">
        <v>161</v>
      </c>
      <c r="C38" s="3" t="s">
        <v>15</v>
      </c>
      <c r="D38" s="3" t="s">
        <v>16</v>
      </c>
      <c r="E38" s="3" t="s">
        <v>34</v>
      </c>
      <c r="F38" s="3" t="s">
        <v>66</v>
      </c>
      <c r="G38" s="3" t="s">
        <v>127</v>
      </c>
      <c r="H38" s="3" t="s">
        <v>17</v>
      </c>
      <c r="I38" s="4">
        <f>ROUND(24,2)</f>
        <v>24</v>
      </c>
      <c r="J38" s="3" t="s">
        <v>18</v>
      </c>
      <c r="K38" s="5" t="s">
        <v>37</v>
      </c>
      <c r="L38" s="3" t="s">
        <v>127</v>
      </c>
      <c r="M38" s="3" t="s">
        <v>34</v>
      </c>
      <c r="N38" s="3" t="s">
        <v>147</v>
      </c>
      <c r="O38" s="3"/>
    </row>
    <row r="39" spans="1:15">
      <c r="A39" s="3" t="s">
        <v>138</v>
      </c>
      <c r="B39" s="3" t="s">
        <v>162</v>
      </c>
      <c r="C39" s="3" t="s">
        <v>15</v>
      </c>
      <c r="D39" s="3" t="s">
        <v>16</v>
      </c>
      <c r="E39" s="3" t="s">
        <v>69</v>
      </c>
      <c r="F39" s="3" t="s">
        <v>70</v>
      </c>
      <c r="G39" s="3" t="s">
        <v>127</v>
      </c>
      <c r="H39" s="3" t="s">
        <v>17</v>
      </c>
      <c r="I39" s="4">
        <f>ROUND(8,2)</f>
        <v>8</v>
      </c>
      <c r="J39" s="3" t="s">
        <v>18</v>
      </c>
      <c r="K39" s="5" t="s">
        <v>19</v>
      </c>
      <c r="L39" s="3" t="s">
        <v>127</v>
      </c>
      <c r="M39" s="3" t="s">
        <v>69</v>
      </c>
      <c r="N39" s="3" t="s">
        <v>20</v>
      </c>
      <c r="O39" s="3"/>
    </row>
    <row r="40" spans="1:15">
      <c r="A40" s="3" t="s">
        <v>134</v>
      </c>
      <c r="B40" s="3" t="s">
        <v>158</v>
      </c>
      <c r="C40" s="3" t="s">
        <v>15</v>
      </c>
      <c r="D40" s="3" t="s">
        <v>16</v>
      </c>
      <c r="E40" s="3" t="s">
        <v>87</v>
      </c>
      <c r="F40" s="3" t="s">
        <v>70</v>
      </c>
      <c r="G40" s="3" t="s">
        <v>134</v>
      </c>
      <c r="H40" s="3" t="s">
        <v>17</v>
      </c>
      <c r="I40" s="4">
        <f>ROUND(8,2)</f>
        <v>8</v>
      </c>
      <c r="J40" s="3" t="s">
        <v>18</v>
      </c>
      <c r="K40" s="5" t="s">
        <v>19</v>
      </c>
      <c r="L40" s="3" t="s">
        <v>127</v>
      </c>
      <c r="M40" s="3" t="s">
        <v>88</v>
      </c>
      <c r="N40" s="3" t="s">
        <v>23</v>
      </c>
      <c r="O40" s="3"/>
    </row>
    <row r="41" spans="1:15" ht="28.5">
      <c r="A41" s="19" t="s">
        <v>171</v>
      </c>
      <c r="B41" s="3" t="s">
        <v>163</v>
      </c>
      <c r="C41" s="3" t="s">
        <v>33</v>
      </c>
      <c r="D41" s="3" t="s">
        <v>33</v>
      </c>
      <c r="E41" s="3" t="s">
        <v>34</v>
      </c>
      <c r="F41" s="3" t="s">
        <v>35</v>
      </c>
      <c r="G41" s="3" t="s">
        <v>127</v>
      </c>
      <c r="H41" s="3" t="s">
        <v>17</v>
      </c>
      <c r="I41" s="4">
        <f>ROUND(6,2)</f>
        <v>6</v>
      </c>
      <c r="J41" s="3" t="s">
        <v>18</v>
      </c>
      <c r="K41" s="5" t="s">
        <v>19</v>
      </c>
      <c r="L41" s="3" t="s">
        <v>127</v>
      </c>
      <c r="M41" s="3" t="s">
        <v>34</v>
      </c>
      <c r="N41" s="3" t="s">
        <v>36</v>
      </c>
      <c r="O41" s="3"/>
    </row>
    <row r="42" spans="1:15" ht="57">
      <c r="A42" s="3" t="s">
        <v>171</v>
      </c>
      <c r="B42" s="3" t="s">
        <v>163</v>
      </c>
      <c r="C42" s="3" t="s">
        <v>15</v>
      </c>
      <c r="D42" s="3" t="s">
        <v>16</v>
      </c>
      <c r="E42" s="3" t="s">
        <v>34</v>
      </c>
      <c r="F42" s="3" t="s">
        <v>35</v>
      </c>
      <c r="G42" s="3" t="s">
        <v>127</v>
      </c>
      <c r="H42" s="3" t="s">
        <v>17</v>
      </c>
      <c r="I42" s="4">
        <f>ROUND(6,2)</f>
        <v>6</v>
      </c>
      <c r="J42" s="3" t="s">
        <v>18</v>
      </c>
      <c r="K42" s="5" t="s">
        <v>37</v>
      </c>
      <c r="L42" s="3" t="s">
        <v>127</v>
      </c>
      <c r="M42" s="3" t="s">
        <v>34</v>
      </c>
      <c r="N42" s="3" t="s">
        <v>148</v>
      </c>
      <c r="O42" s="3"/>
    </row>
    <row r="43" spans="1:15" ht="28.5">
      <c r="A43" s="3" t="s">
        <v>144</v>
      </c>
      <c r="B43" s="3" t="s">
        <v>164</v>
      </c>
      <c r="C43" s="3" t="s">
        <v>15</v>
      </c>
      <c r="D43" s="3" t="s">
        <v>16</v>
      </c>
      <c r="E43" s="3" t="s">
        <v>34</v>
      </c>
      <c r="F43" s="3" t="s">
        <v>83</v>
      </c>
      <c r="G43" s="3" t="s">
        <v>127</v>
      </c>
      <c r="H43" s="3" t="s">
        <v>17</v>
      </c>
      <c r="I43" s="4">
        <f>ROUND(1,2)</f>
        <v>1</v>
      </c>
      <c r="J43" s="3" t="s">
        <v>18</v>
      </c>
      <c r="K43" s="5" t="s">
        <v>19</v>
      </c>
      <c r="L43" s="3" t="s">
        <v>127</v>
      </c>
      <c r="M43" s="3" t="s">
        <v>34</v>
      </c>
      <c r="N43" s="3" t="s">
        <v>147</v>
      </c>
      <c r="O43" s="3"/>
    </row>
    <row r="44" spans="1:15" ht="28.5">
      <c r="A44" s="3" t="s">
        <v>144</v>
      </c>
      <c r="B44" s="3" t="s">
        <v>164</v>
      </c>
      <c r="C44" s="3" t="s">
        <v>15</v>
      </c>
      <c r="D44" s="3" t="s">
        <v>16</v>
      </c>
      <c r="E44" s="3" t="s">
        <v>34</v>
      </c>
      <c r="F44" s="3" t="s">
        <v>75</v>
      </c>
      <c r="G44" s="3" t="s">
        <v>127</v>
      </c>
      <c r="H44" s="3" t="s">
        <v>17</v>
      </c>
      <c r="I44" s="4">
        <f>ROUND(1,2)</f>
        <v>1</v>
      </c>
      <c r="J44" s="3" t="s">
        <v>18</v>
      </c>
      <c r="K44" s="5" t="s">
        <v>19</v>
      </c>
      <c r="L44" s="3" t="s">
        <v>127</v>
      </c>
      <c r="M44" s="3" t="s">
        <v>34</v>
      </c>
      <c r="N44" s="3" t="s">
        <v>147</v>
      </c>
      <c r="O44" s="3"/>
    </row>
    <row r="45" spans="1:15">
      <c r="A45" s="3" t="s">
        <v>144</v>
      </c>
      <c r="B45" s="3" t="s">
        <v>164</v>
      </c>
      <c r="C45" s="3" t="s">
        <v>15</v>
      </c>
      <c r="D45" s="3" t="s">
        <v>16</v>
      </c>
      <c r="E45" s="3" t="s">
        <v>60</v>
      </c>
      <c r="F45" s="3" t="s">
        <v>77</v>
      </c>
      <c r="G45" s="3" t="s">
        <v>144</v>
      </c>
      <c r="H45" s="3" t="s">
        <v>17</v>
      </c>
      <c r="I45" s="4">
        <f>ROUND(7,2)</f>
        <v>7</v>
      </c>
      <c r="J45" s="3" t="s">
        <v>18</v>
      </c>
      <c r="K45" s="5" t="s">
        <v>19</v>
      </c>
      <c r="L45" s="3" t="s">
        <v>127</v>
      </c>
      <c r="M45" s="3" t="s">
        <v>60</v>
      </c>
      <c r="N45" s="3" t="s">
        <v>82</v>
      </c>
      <c r="O45" s="3"/>
    </row>
    <row r="46" spans="1:15">
      <c r="A46" s="3" t="s">
        <v>140</v>
      </c>
      <c r="B46" s="3" t="s">
        <v>165</v>
      </c>
      <c r="C46" s="3" t="s">
        <v>15</v>
      </c>
      <c r="D46" s="3" t="s">
        <v>16</v>
      </c>
      <c r="E46" s="3" t="s">
        <v>57</v>
      </c>
      <c r="F46" s="3" t="s">
        <v>60</v>
      </c>
      <c r="G46" s="3" t="s">
        <v>140</v>
      </c>
      <c r="H46" s="3" t="s">
        <v>46</v>
      </c>
      <c r="I46" s="4">
        <f>ROUND(4,2)</f>
        <v>4</v>
      </c>
      <c r="J46" s="3" t="s">
        <v>18</v>
      </c>
      <c r="K46" s="5" t="s">
        <v>37</v>
      </c>
      <c r="L46" s="3" t="s">
        <v>141</v>
      </c>
      <c r="M46" s="3" t="s">
        <v>57</v>
      </c>
      <c r="N46" s="3" t="s">
        <v>59</v>
      </c>
      <c r="O46" s="3"/>
    </row>
    <row r="47" spans="1:15">
      <c r="A47" s="3" t="s">
        <v>140</v>
      </c>
      <c r="B47" s="3" t="s">
        <v>165</v>
      </c>
      <c r="C47" s="3" t="s">
        <v>15</v>
      </c>
      <c r="D47" s="3" t="s">
        <v>16</v>
      </c>
      <c r="E47" s="3" t="s">
        <v>57</v>
      </c>
      <c r="F47" s="3" t="s">
        <v>64</v>
      </c>
      <c r="G47" s="3" t="s">
        <v>140</v>
      </c>
      <c r="H47" s="3" t="s">
        <v>48</v>
      </c>
      <c r="I47" s="4">
        <f t="shared" ref="I47:I59" si="1">ROUND(8,2)</f>
        <v>8</v>
      </c>
      <c r="J47" s="3" t="s">
        <v>18</v>
      </c>
      <c r="K47" s="5" t="s">
        <v>37</v>
      </c>
      <c r="L47" s="3" t="s">
        <v>141</v>
      </c>
      <c r="M47" s="3" t="s">
        <v>57</v>
      </c>
      <c r="N47" s="3" t="s">
        <v>59</v>
      </c>
      <c r="O47" s="3"/>
    </row>
    <row r="48" spans="1:15">
      <c r="A48" s="3" t="s">
        <v>140</v>
      </c>
      <c r="B48" s="3" t="s">
        <v>165</v>
      </c>
      <c r="C48" s="3" t="s">
        <v>15</v>
      </c>
      <c r="D48" s="3" t="s">
        <v>16</v>
      </c>
      <c r="E48" s="3" t="s">
        <v>57</v>
      </c>
      <c r="F48" s="3" t="s">
        <v>63</v>
      </c>
      <c r="G48" s="3" t="s">
        <v>140</v>
      </c>
      <c r="H48" s="3" t="s">
        <v>48</v>
      </c>
      <c r="I48" s="4">
        <f t="shared" si="1"/>
        <v>8</v>
      </c>
      <c r="J48" s="3" t="s">
        <v>18</v>
      </c>
      <c r="K48" s="5" t="s">
        <v>37</v>
      </c>
      <c r="L48" s="3" t="s">
        <v>141</v>
      </c>
      <c r="M48" s="3" t="s">
        <v>57</v>
      </c>
      <c r="N48" s="3" t="s">
        <v>59</v>
      </c>
      <c r="O48" s="3"/>
    </row>
    <row r="49" spans="1:15">
      <c r="A49" s="3" t="s">
        <v>140</v>
      </c>
      <c r="B49" s="3" t="s">
        <v>165</v>
      </c>
      <c r="C49" s="3" t="s">
        <v>15</v>
      </c>
      <c r="D49" s="3" t="s">
        <v>16</v>
      </c>
      <c r="E49" s="3" t="s">
        <v>57</v>
      </c>
      <c r="F49" s="3" t="s">
        <v>61</v>
      </c>
      <c r="G49" s="3" t="s">
        <v>140</v>
      </c>
      <c r="H49" s="3" t="s">
        <v>48</v>
      </c>
      <c r="I49" s="4">
        <f t="shared" si="1"/>
        <v>8</v>
      </c>
      <c r="J49" s="3" t="s">
        <v>18</v>
      </c>
      <c r="K49" s="5" t="s">
        <v>37</v>
      </c>
      <c r="L49" s="3" t="s">
        <v>141</v>
      </c>
      <c r="M49" s="3" t="s">
        <v>57</v>
      </c>
      <c r="N49" s="3" t="s">
        <v>59</v>
      </c>
      <c r="O49" s="3"/>
    </row>
    <row r="50" spans="1:15" ht="57">
      <c r="A50" s="3" t="s">
        <v>140</v>
      </c>
      <c r="B50" s="3" t="s">
        <v>165</v>
      </c>
      <c r="C50" s="3" t="s">
        <v>15</v>
      </c>
      <c r="D50" s="3" t="s">
        <v>16</v>
      </c>
      <c r="E50" s="3" t="s">
        <v>62</v>
      </c>
      <c r="F50" s="3" t="s">
        <v>61</v>
      </c>
      <c r="G50" s="3" t="s">
        <v>140</v>
      </c>
      <c r="H50" s="3" t="s">
        <v>48</v>
      </c>
      <c r="I50" s="4">
        <f t="shared" si="1"/>
        <v>8</v>
      </c>
      <c r="J50" s="3" t="s">
        <v>18</v>
      </c>
      <c r="K50" s="5" t="s">
        <v>19</v>
      </c>
      <c r="L50" s="3" t="s">
        <v>140</v>
      </c>
      <c r="M50" s="3" t="s">
        <v>62</v>
      </c>
      <c r="N50" s="3" t="s">
        <v>150</v>
      </c>
      <c r="O50" s="3"/>
    </row>
    <row r="51" spans="1:15">
      <c r="A51" s="3" t="s">
        <v>140</v>
      </c>
      <c r="B51" s="3" t="s">
        <v>165</v>
      </c>
      <c r="C51" s="3" t="s">
        <v>15</v>
      </c>
      <c r="D51" s="3" t="s">
        <v>16</v>
      </c>
      <c r="E51" s="3" t="s">
        <v>57</v>
      </c>
      <c r="F51" s="3" t="s">
        <v>58</v>
      </c>
      <c r="G51" s="3" t="s">
        <v>140</v>
      </c>
      <c r="H51" s="3" t="s">
        <v>48</v>
      </c>
      <c r="I51" s="4">
        <f t="shared" si="1"/>
        <v>8</v>
      </c>
      <c r="J51" s="3" t="s">
        <v>18</v>
      </c>
      <c r="K51" s="5" t="s">
        <v>37</v>
      </c>
      <c r="L51" s="3" t="s">
        <v>141</v>
      </c>
      <c r="M51" s="3" t="s">
        <v>57</v>
      </c>
      <c r="N51" s="3" t="s">
        <v>59</v>
      </c>
      <c r="O51" s="3"/>
    </row>
    <row r="52" spans="1:15" ht="57">
      <c r="A52" s="3" t="s">
        <v>140</v>
      </c>
      <c r="B52" s="3" t="s">
        <v>165</v>
      </c>
      <c r="C52" s="3" t="s">
        <v>15</v>
      </c>
      <c r="D52" s="3" t="s">
        <v>16</v>
      </c>
      <c r="E52" s="3" t="s">
        <v>62</v>
      </c>
      <c r="F52" s="3" t="s">
        <v>58</v>
      </c>
      <c r="G52" s="3" t="s">
        <v>140</v>
      </c>
      <c r="H52" s="3" t="s">
        <v>48</v>
      </c>
      <c r="I52" s="4">
        <f t="shared" si="1"/>
        <v>8</v>
      </c>
      <c r="J52" s="3" t="s">
        <v>18</v>
      </c>
      <c r="K52" s="5" t="s">
        <v>19</v>
      </c>
      <c r="L52" s="3" t="s">
        <v>140</v>
      </c>
      <c r="M52" s="3" t="s">
        <v>62</v>
      </c>
      <c r="N52" s="3" t="s">
        <v>150</v>
      </c>
      <c r="O52" s="3"/>
    </row>
    <row r="53" spans="1:15">
      <c r="A53" s="3" t="s">
        <v>140</v>
      </c>
      <c r="B53" s="3" t="s">
        <v>165</v>
      </c>
      <c r="C53" s="3" t="s">
        <v>15</v>
      </c>
      <c r="D53" s="3" t="s">
        <v>16</v>
      </c>
      <c r="E53" s="3" t="s">
        <v>57</v>
      </c>
      <c r="F53" s="3" t="s">
        <v>56</v>
      </c>
      <c r="G53" s="3" t="s">
        <v>140</v>
      </c>
      <c r="H53" s="3" t="s">
        <v>48</v>
      </c>
      <c r="I53" s="4">
        <f t="shared" si="1"/>
        <v>8</v>
      </c>
      <c r="J53" s="3" t="s">
        <v>18</v>
      </c>
      <c r="K53" s="5" t="s">
        <v>37</v>
      </c>
      <c r="L53" s="3" t="s">
        <v>141</v>
      </c>
      <c r="M53" s="3" t="s">
        <v>57</v>
      </c>
      <c r="N53" s="3" t="s">
        <v>59</v>
      </c>
      <c r="O53" s="3"/>
    </row>
    <row r="54" spans="1:15" ht="57">
      <c r="A54" s="3" t="s">
        <v>140</v>
      </c>
      <c r="B54" s="3" t="s">
        <v>165</v>
      </c>
      <c r="C54" s="3" t="s">
        <v>15</v>
      </c>
      <c r="D54" s="3" t="s">
        <v>16</v>
      </c>
      <c r="E54" s="3" t="s">
        <v>62</v>
      </c>
      <c r="F54" s="3" t="s">
        <v>56</v>
      </c>
      <c r="G54" s="3" t="s">
        <v>140</v>
      </c>
      <c r="H54" s="3" t="s">
        <v>48</v>
      </c>
      <c r="I54" s="4">
        <f t="shared" si="1"/>
        <v>8</v>
      </c>
      <c r="J54" s="3" t="s">
        <v>18</v>
      </c>
      <c r="K54" s="5" t="s">
        <v>19</v>
      </c>
      <c r="L54" s="3" t="s">
        <v>140</v>
      </c>
      <c r="M54" s="3" t="s">
        <v>62</v>
      </c>
      <c r="N54" s="3" t="s">
        <v>150</v>
      </c>
      <c r="O54" s="3"/>
    </row>
    <row r="55" spans="1:15">
      <c r="A55" s="3" t="s">
        <v>142</v>
      </c>
      <c r="B55" s="3" t="s">
        <v>166</v>
      </c>
      <c r="C55" s="3" t="s">
        <v>15</v>
      </c>
      <c r="D55" s="3" t="s">
        <v>16</v>
      </c>
      <c r="E55" s="3" t="s">
        <v>75</v>
      </c>
      <c r="F55" s="3" t="s">
        <v>76</v>
      </c>
      <c r="G55" s="3" t="s">
        <v>142</v>
      </c>
      <c r="H55" s="3" t="s">
        <v>17</v>
      </c>
      <c r="I55" s="4">
        <f t="shared" si="1"/>
        <v>8</v>
      </c>
      <c r="J55" s="3" t="s">
        <v>18</v>
      </c>
      <c r="K55" s="5" t="s">
        <v>19</v>
      </c>
      <c r="L55" s="3" t="s">
        <v>127</v>
      </c>
      <c r="M55" s="3" t="s">
        <v>77</v>
      </c>
      <c r="N55" s="3" t="s">
        <v>23</v>
      </c>
      <c r="O55" s="3"/>
    </row>
    <row r="56" spans="1:15">
      <c r="A56" s="3" t="s">
        <v>134</v>
      </c>
      <c r="B56" s="3" t="s">
        <v>158</v>
      </c>
      <c r="C56" s="3" t="s">
        <v>15</v>
      </c>
      <c r="D56" s="3" t="s">
        <v>16</v>
      </c>
      <c r="E56" s="3" t="s">
        <v>77</v>
      </c>
      <c r="F56" s="3" t="s">
        <v>76</v>
      </c>
      <c r="G56" s="3" t="s">
        <v>134</v>
      </c>
      <c r="H56" s="3" t="s">
        <v>17</v>
      </c>
      <c r="I56" s="4">
        <f t="shared" si="1"/>
        <v>8</v>
      </c>
      <c r="J56" s="3" t="s">
        <v>18</v>
      </c>
      <c r="K56" s="5" t="s">
        <v>19</v>
      </c>
      <c r="L56" s="3" t="s">
        <v>127</v>
      </c>
      <c r="M56" s="3" t="s">
        <v>77</v>
      </c>
      <c r="N56" s="3" t="s">
        <v>23</v>
      </c>
      <c r="O56" s="3"/>
    </row>
    <row r="57" spans="1:15">
      <c r="A57" s="3" t="s">
        <v>145</v>
      </c>
      <c r="B57" s="3" t="s">
        <v>167</v>
      </c>
      <c r="C57" s="3" t="s">
        <v>15</v>
      </c>
      <c r="D57" s="3" t="s">
        <v>16</v>
      </c>
      <c r="E57" s="3" t="s">
        <v>25</v>
      </c>
      <c r="F57" s="3" t="s">
        <v>43</v>
      </c>
      <c r="G57" s="3" t="s">
        <v>145</v>
      </c>
      <c r="H57" s="3" t="s">
        <v>17</v>
      </c>
      <c r="I57" s="4">
        <f t="shared" si="1"/>
        <v>8</v>
      </c>
      <c r="J57" s="3" t="s">
        <v>18</v>
      </c>
      <c r="K57" s="5" t="s">
        <v>19</v>
      </c>
      <c r="L57" s="3" t="s">
        <v>127</v>
      </c>
      <c r="M57" s="3" t="s">
        <v>44</v>
      </c>
      <c r="N57" s="3" t="s">
        <v>23</v>
      </c>
      <c r="O57" s="3"/>
    </row>
    <row r="58" spans="1:15">
      <c r="A58" s="3" t="s">
        <v>139</v>
      </c>
      <c r="B58" s="3" t="s">
        <v>168</v>
      </c>
      <c r="C58" s="3" t="s">
        <v>15</v>
      </c>
      <c r="D58" s="3" t="s">
        <v>16</v>
      </c>
      <c r="E58" s="3" t="s">
        <v>62</v>
      </c>
      <c r="F58" s="3" t="s">
        <v>43</v>
      </c>
      <c r="G58" s="3" t="s">
        <v>127</v>
      </c>
      <c r="H58" s="3" t="s">
        <v>17</v>
      </c>
      <c r="I58" s="4">
        <f t="shared" si="1"/>
        <v>8</v>
      </c>
      <c r="J58" s="3" t="s">
        <v>18</v>
      </c>
      <c r="K58" s="5" t="s">
        <v>19</v>
      </c>
      <c r="L58" s="3" t="s">
        <v>127</v>
      </c>
      <c r="M58" s="3" t="s">
        <v>62</v>
      </c>
      <c r="N58" s="3" t="s">
        <v>20</v>
      </c>
      <c r="O58" s="3"/>
    </row>
    <row r="59" spans="1:15">
      <c r="A59" s="3" t="s">
        <v>143</v>
      </c>
      <c r="B59" s="3" t="s">
        <v>169</v>
      </c>
      <c r="C59" s="3" t="s">
        <v>15</v>
      </c>
      <c r="D59" s="3" t="s">
        <v>16</v>
      </c>
      <c r="E59" s="3" t="s">
        <v>52</v>
      </c>
      <c r="F59" s="3" t="s">
        <v>53</v>
      </c>
      <c r="G59" s="3" t="s">
        <v>143</v>
      </c>
      <c r="H59" s="3" t="s">
        <v>48</v>
      </c>
      <c r="I59" s="4">
        <f t="shared" si="1"/>
        <v>8</v>
      </c>
      <c r="J59" s="3" t="s">
        <v>18</v>
      </c>
      <c r="K59" s="5" t="s">
        <v>19</v>
      </c>
      <c r="L59" s="3" t="s">
        <v>137</v>
      </c>
      <c r="M59" s="3" t="s">
        <v>54</v>
      </c>
      <c r="N59" s="3" t="s">
        <v>20</v>
      </c>
      <c r="O59" s="3"/>
    </row>
    <row r="60" spans="1:15" ht="28.5">
      <c r="A60" s="3" t="s">
        <v>137</v>
      </c>
      <c r="B60" s="3" t="s">
        <v>161</v>
      </c>
      <c r="C60" s="3" t="s">
        <v>15</v>
      </c>
      <c r="D60" s="3" t="s">
        <v>16</v>
      </c>
      <c r="E60" s="3" t="s">
        <v>34</v>
      </c>
      <c r="F60" s="3" t="s">
        <v>53</v>
      </c>
      <c r="G60" s="3" t="s">
        <v>127</v>
      </c>
      <c r="H60" s="3" t="s">
        <v>17</v>
      </c>
      <c r="I60" s="4">
        <f>ROUND(4,2)</f>
        <v>4</v>
      </c>
      <c r="J60" s="3" t="s">
        <v>18</v>
      </c>
      <c r="K60" s="5" t="s">
        <v>37</v>
      </c>
      <c r="L60" s="3" t="s">
        <v>127</v>
      </c>
      <c r="M60" s="3" t="s">
        <v>34</v>
      </c>
      <c r="N60" s="3" t="s">
        <v>147</v>
      </c>
      <c r="O60" s="3"/>
    </row>
    <row r="61" spans="1:15">
      <c r="A61" s="3" t="s">
        <v>131</v>
      </c>
      <c r="B61" s="3" t="s">
        <v>155</v>
      </c>
      <c r="C61" s="3" t="s">
        <v>15</v>
      </c>
      <c r="D61" s="3" t="s">
        <v>16</v>
      </c>
      <c r="E61" s="3" t="s">
        <v>43</v>
      </c>
      <c r="F61" s="3" t="s">
        <v>53</v>
      </c>
      <c r="G61" s="3" t="s">
        <v>131</v>
      </c>
      <c r="H61" s="3" t="s">
        <v>91</v>
      </c>
      <c r="I61" s="4">
        <f t="shared" ref="I61:I71" si="2">ROUND(8,2)</f>
        <v>8</v>
      </c>
      <c r="J61" s="3" t="s">
        <v>18</v>
      </c>
      <c r="K61" s="5" t="s">
        <v>19</v>
      </c>
      <c r="L61" s="3" t="s">
        <v>131</v>
      </c>
      <c r="M61" s="3" t="s">
        <v>43</v>
      </c>
      <c r="N61" s="3" t="s">
        <v>20</v>
      </c>
      <c r="O61" s="3"/>
    </row>
    <row r="62" spans="1:15">
      <c r="A62" s="3" t="s">
        <v>136</v>
      </c>
      <c r="B62" s="3" t="s">
        <v>160</v>
      </c>
      <c r="C62" s="3" t="s">
        <v>15</v>
      </c>
      <c r="D62" s="3" t="s">
        <v>16</v>
      </c>
      <c r="E62" s="3" t="s">
        <v>25</v>
      </c>
      <c r="F62" s="3" t="s">
        <v>26</v>
      </c>
      <c r="G62" s="3" t="s">
        <v>136</v>
      </c>
      <c r="H62" s="3" t="s">
        <v>17</v>
      </c>
      <c r="I62" s="4">
        <f t="shared" si="2"/>
        <v>8</v>
      </c>
      <c r="J62" s="3" t="s">
        <v>18</v>
      </c>
      <c r="K62" s="5" t="s">
        <v>19</v>
      </c>
      <c r="L62" s="3" t="s">
        <v>141</v>
      </c>
      <c r="M62" s="3" t="s">
        <v>26</v>
      </c>
      <c r="N62" s="3" t="s">
        <v>20</v>
      </c>
      <c r="O62" s="3"/>
    </row>
    <row r="63" spans="1:15" ht="42.75">
      <c r="A63" s="3" t="s">
        <v>134</v>
      </c>
      <c r="B63" s="3" t="s">
        <v>158</v>
      </c>
      <c r="C63" s="3" t="s">
        <v>45</v>
      </c>
      <c r="D63" s="3" t="s">
        <v>45</v>
      </c>
      <c r="E63" s="3" t="s">
        <v>27</v>
      </c>
      <c r="F63" s="3" t="s">
        <v>27</v>
      </c>
      <c r="G63" s="3" t="s">
        <v>134</v>
      </c>
      <c r="H63" s="3" t="s">
        <v>17</v>
      </c>
      <c r="I63" s="4">
        <f t="shared" si="2"/>
        <v>8</v>
      </c>
      <c r="J63" s="3" t="s">
        <v>18</v>
      </c>
      <c r="K63" s="5" t="s">
        <v>19</v>
      </c>
      <c r="L63" s="3" t="s">
        <v>127</v>
      </c>
      <c r="M63" s="3" t="s">
        <v>27</v>
      </c>
      <c r="N63" s="3" t="s">
        <v>84</v>
      </c>
      <c r="O63" s="3"/>
    </row>
    <row r="64" spans="1:15" ht="99.75">
      <c r="A64" s="3" t="s">
        <v>144</v>
      </c>
      <c r="B64" s="3" t="s">
        <v>164</v>
      </c>
      <c r="C64" s="3" t="s">
        <v>15</v>
      </c>
      <c r="D64" s="3" t="s">
        <v>16</v>
      </c>
      <c r="E64" s="3" t="s">
        <v>38</v>
      </c>
      <c r="F64" s="3" t="s">
        <v>28</v>
      </c>
      <c r="G64" s="3" t="s">
        <v>127</v>
      </c>
      <c r="H64" s="3" t="s">
        <v>17</v>
      </c>
      <c r="I64" s="4">
        <f t="shared" si="2"/>
        <v>8</v>
      </c>
      <c r="J64" s="3" t="s">
        <v>18</v>
      </c>
      <c r="K64" s="5" t="s">
        <v>37</v>
      </c>
      <c r="L64" s="3" t="s">
        <v>127</v>
      </c>
      <c r="M64" s="3" t="s">
        <v>38</v>
      </c>
      <c r="N64" s="3" t="s">
        <v>149</v>
      </c>
      <c r="O64" s="3"/>
    </row>
    <row r="65" spans="1:15" ht="28.5">
      <c r="A65" s="3" t="s">
        <v>144</v>
      </c>
      <c r="B65" s="3" t="s">
        <v>164</v>
      </c>
      <c r="C65" s="3" t="s">
        <v>16</v>
      </c>
      <c r="D65" s="3" t="s">
        <v>16</v>
      </c>
      <c r="E65" s="3" t="s">
        <v>79</v>
      </c>
      <c r="F65" s="3" t="s">
        <v>28</v>
      </c>
      <c r="G65" s="3" t="s">
        <v>144</v>
      </c>
      <c r="H65" s="3" t="s">
        <v>17</v>
      </c>
      <c r="I65" s="4">
        <f t="shared" si="2"/>
        <v>8</v>
      </c>
      <c r="J65" s="3" t="s">
        <v>18</v>
      </c>
      <c r="K65" s="5" t="s">
        <v>37</v>
      </c>
      <c r="L65" s="3" t="s">
        <v>127</v>
      </c>
      <c r="M65" s="3" t="s">
        <v>81</v>
      </c>
      <c r="N65" s="3" t="s">
        <v>42</v>
      </c>
      <c r="O65" s="3"/>
    </row>
    <row r="66" spans="1:15" ht="99.75">
      <c r="A66" s="3" t="s">
        <v>144</v>
      </c>
      <c r="B66" s="3" t="s">
        <v>164</v>
      </c>
      <c r="C66" s="3" t="s">
        <v>15</v>
      </c>
      <c r="D66" s="3" t="s">
        <v>16</v>
      </c>
      <c r="E66" s="3" t="s">
        <v>38</v>
      </c>
      <c r="F66" s="3" t="s">
        <v>78</v>
      </c>
      <c r="G66" s="3" t="s">
        <v>127</v>
      </c>
      <c r="H66" s="3" t="s">
        <v>17</v>
      </c>
      <c r="I66" s="4">
        <f t="shared" si="2"/>
        <v>8</v>
      </c>
      <c r="J66" s="3" t="s">
        <v>18</v>
      </c>
      <c r="K66" s="5" t="s">
        <v>37</v>
      </c>
      <c r="L66" s="3" t="s">
        <v>127</v>
      </c>
      <c r="M66" s="3" t="s">
        <v>38</v>
      </c>
      <c r="N66" s="3" t="s">
        <v>149</v>
      </c>
      <c r="O66" s="3"/>
    </row>
    <row r="67" spans="1:15" ht="28.5">
      <c r="A67" s="3" t="s">
        <v>144</v>
      </c>
      <c r="B67" s="3" t="s">
        <v>164</v>
      </c>
      <c r="C67" s="3" t="s">
        <v>16</v>
      </c>
      <c r="D67" s="3" t="s">
        <v>16</v>
      </c>
      <c r="E67" s="3" t="s">
        <v>79</v>
      </c>
      <c r="F67" s="3" t="s">
        <v>78</v>
      </c>
      <c r="G67" s="3" t="s">
        <v>144</v>
      </c>
      <c r="H67" s="3" t="s">
        <v>17</v>
      </c>
      <c r="I67" s="4">
        <f t="shared" si="2"/>
        <v>8</v>
      </c>
      <c r="J67" s="3" t="s">
        <v>18</v>
      </c>
      <c r="K67" s="5" t="s">
        <v>37</v>
      </c>
      <c r="L67" s="3" t="s">
        <v>127</v>
      </c>
      <c r="M67" s="3" t="s">
        <v>81</v>
      </c>
      <c r="N67" s="3" t="s">
        <v>42</v>
      </c>
      <c r="O67" s="3"/>
    </row>
    <row r="68" spans="1:15" ht="99.75">
      <c r="A68" s="3" t="s">
        <v>144</v>
      </c>
      <c r="B68" s="3" t="s">
        <v>164</v>
      </c>
      <c r="C68" s="3" t="s">
        <v>15</v>
      </c>
      <c r="D68" s="3" t="s">
        <v>16</v>
      </c>
      <c r="E68" s="3" t="s">
        <v>38</v>
      </c>
      <c r="F68" s="3" t="s">
        <v>50</v>
      </c>
      <c r="G68" s="3" t="s">
        <v>127</v>
      </c>
      <c r="H68" s="3" t="s">
        <v>17</v>
      </c>
      <c r="I68" s="4">
        <f t="shared" si="2"/>
        <v>8</v>
      </c>
      <c r="J68" s="3" t="s">
        <v>18</v>
      </c>
      <c r="K68" s="5" t="s">
        <v>37</v>
      </c>
      <c r="L68" s="3" t="s">
        <v>127</v>
      </c>
      <c r="M68" s="3" t="s">
        <v>38</v>
      </c>
      <c r="N68" s="3" t="s">
        <v>149</v>
      </c>
      <c r="O68" s="3"/>
    </row>
    <row r="69" spans="1:15" ht="28.5">
      <c r="A69" s="3" t="s">
        <v>144</v>
      </c>
      <c r="B69" s="3" t="s">
        <v>164</v>
      </c>
      <c r="C69" s="3" t="s">
        <v>16</v>
      </c>
      <c r="D69" s="3" t="s">
        <v>16</v>
      </c>
      <c r="E69" s="3" t="s">
        <v>79</v>
      </c>
      <c r="F69" s="3" t="s">
        <v>50</v>
      </c>
      <c r="G69" s="3" t="s">
        <v>144</v>
      </c>
      <c r="H69" s="3" t="s">
        <v>17</v>
      </c>
      <c r="I69" s="4">
        <f t="shared" si="2"/>
        <v>8</v>
      </c>
      <c r="J69" s="3" t="s">
        <v>18</v>
      </c>
      <c r="K69" s="5" t="s">
        <v>37</v>
      </c>
      <c r="L69" s="3" t="s">
        <v>127</v>
      </c>
      <c r="M69" s="3" t="s">
        <v>81</v>
      </c>
      <c r="N69" s="3" t="s">
        <v>42</v>
      </c>
      <c r="O69" s="3"/>
    </row>
    <row r="70" spans="1:15" ht="28.5">
      <c r="A70" s="3" t="s">
        <v>144</v>
      </c>
      <c r="B70" s="3" t="s">
        <v>164</v>
      </c>
      <c r="C70" s="3" t="s">
        <v>16</v>
      </c>
      <c r="D70" s="3" t="s">
        <v>16</v>
      </c>
      <c r="E70" s="3" t="s">
        <v>79</v>
      </c>
      <c r="F70" s="3" t="s">
        <v>80</v>
      </c>
      <c r="G70" s="3" t="s">
        <v>144</v>
      </c>
      <c r="H70" s="3" t="s">
        <v>17</v>
      </c>
      <c r="I70" s="4">
        <f t="shared" si="2"/>
        <v>8</v>
      </c>
      <c r="J70" s="3" t="s">
        <v>18</v>
      </c>
      <c r="K70" s="5" t="s">
        <v>37</v>
      </c>
      <c r="L70" s="3" t="s">
        <v>127</v>
      </c>
      <c r="M70" s="3" t="s">
        <v>81</v>
      </c>
      <c r="N70" s="3" t="s">
        <v>42</v>
      </c>
      <c r="O70" s="3"/>
    </row>
    <row r="71" spans="1:15" ht="99.75">
      <c r="A71" s="3" t="s">
        <v>144</v>
      </c>
      <c r="B71" s="3" t="s">
        <v>164</v>
      </c>
      <c r="C71" s="3" t="s">
        <v>15</v>
      </c>
      <c r="D71" s="3" t="s">
        <v>16</v>
      </c>
      <c r="E71" s="3" t="s">
        <v>38</v>
      </c>
      <c r="F71" s="3" t="s">
        <v>80</v>
      </c>
      <c r="G71" s="3" t="s">
        <v>127</v>
      </c>
      <c r="H71" s="3" t="s">
        <v>17</v>
      </c>
      <c r="I71" s="4">
        <f t="shared" si="2"/>
        <v>8</v>
      </c>
      <c r="J71" s="3" t="s">
        <v>18</v>
      </c>
      <c r="K71" s="5" t="s">
        <v>37</v>
      </c>
      <c r="L71" s="3" t="s">
        <v>127</v>
      </c>
      <c r="M71" s="3" t="s">
        <v>38</v>
      </c>
      <c r="N71" s="3" t="s">
        <v>149</v>
      </c>
      <c r="O71" s="3"/>
    </row>
    <row r="72" spans="1:15" ht="28.5">
      <c r="A72" s="6" t="s">
        <v>92</v>
      </c>
      <c r="B72" s="18" t="s">
        <v>170</v>
      </c>
      <c r="C72" s="6"/>
      <c r="D72" s="6"/>
      <c r="E72" s="6"/>
      <c r="F72" s="6"/>
      <c r="G72" s="6"/>
      <c r="H72" s="6"/>
      <c r="I72" s="6"/>
      <c r="J72" s="6"/>
      <c r="K72" s="7"/>
      <c r="L72" s="6"/>
      <c r="M72" s="6"/>
      <c r="N72" s="6"/>
      <c r="O72" s="6"/>
    </row>
    <row r="73" spans="1:15">
      <c r="A73" s="3"/>
      <c r="B73" s="3"/>
      <c r="C73" s="3"/>
      <c r="D73" s="3"/>
      <c r="E73" s="3"/>
      <c r="F73" s="3"/>
      <c r="G73" s="3"/>
      <c r="H73" s="3"/>
      <c r="I73" s="4"/>
      <c r="J73" s="3"/>
      <c r="K73" s="5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4"/>
      <c r="J74" s="3"/>
      <c r="K74" s="5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4"/>
      <c r="J75" s="3"/>
      <c r="K75" s="5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4"/>
      <c r="J76" s="3"/>
      <c r="K76" s="5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4"/>
      <c r="J77" s="3"/>
      <c r="K77" s="5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4"/>
      <c r="J78" s="3"/>
      <c r="K78" s="5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4"/>
      <c r="J79" s="3"/>
      <c r="K79" s="5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4"/>
      <c r="J80" s="3"/>
      <c r="K80" s="5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4"/>
      <c r="J81" s="3"/>
      <c r="K81" s="5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4"/>
      <c r="J82" s="3"/>
      <c r="K82" s="5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4"/>
      <c r="J83" s="3"/>
      <c r="K83" s="5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4"/>
      <c r="J84" s="3"/>
      <c r="K84" s="5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4"/>
      <c r="J85" s="3"/>
      <c r="K85" s="5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4"/>
      <c r="J86" s="3"/>
      <c r="K86" s="5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4"/>
      <c r="J87" s="3"/>
      <c r="K87" s="5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4"/>
      <c r="J88" s="3"/>
      <c r="K88" s="5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4"/>
      <c r="J89" s="3"/>
      <c r="K89" s="5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4"/>
      <c r="J90" s="3"/>
      <c r="K90" s="5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4"/>
      <c r="J91" s="3"/>
      <c r="K91" s="5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4"/>
      <c r="J92" s="3"/>
      <c r="K92" s="5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4"/>
      <c r="J93" s="3"/>
      <c r="K93" s="5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4"/>
      <c r="J94" s="3"/>
      <c r="K94" s="5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4"/>
      <c r="J95" s="3"/>
      <c r="K95" s="5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4"/>
      <c r="J96" s="3"/>
      <c r="K96" s="5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4"/>
      <c r="J97" s="3"/>
      <c r="K97" s="5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4"/>
      <c r="J98" s="3"/>
      <c r="K98" s="5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4"/>
      <c r="J99" s="3"/>
      <c r="K99" s="5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4"/>
      <c r="J100" s="3"/>
      <c r="K100" s="5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4"/>
      <c r="J101" s="3"/>
      <c r="K101" s="5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4"/>
      <c r="J102" s="3"/>
      <c r="K102" s="5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4"/>
      <c r="J103" s="3"/>
      <c r="K103" s="5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4"/>
      <c r="J104" s="3"/>
      <c r="K104" s="5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4"/>
      <c r="J105" s="3"/>
      <c r="K105" s="5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4"/>
      <c r="J106" s="3"/>
      <c r="K106" s="5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4"/>
      <c r="J107" s="3"/>
      <c r="K107" s="5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4"/>
      <c r="J108" s="3"/>
      <c r="K108" s="5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4"/>
      <c r="J109" s="3"/>
      <c r="K109" s="5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4"/>
      <c r="J110" s="3"/>
      <c r="K110" s="5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4"/>
      <c r="J111" s="3"/>
      <c r="K111" s="5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4"/>
      <c r="J112" s="3"/>
      <c r="K112" s="5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4"/>
      <c r="J113" s="3"/>
      <c r="K113" s="5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4"/>
      <c r="J114" s="3"/>
      <c r="K114" s="5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4"/>
      <c r="J115" s="3"/>
      <c r="K115" s="5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4"/>
      <c r="J116" s="3"/>
      <c r="K116" s="5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4"/>
      <c r="J117" s="3"/>
      <c r="K117" s="5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4"/>
      <c r="J118" s="3"/>
      <c r="K118" s="5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4"/>
      <c r="J119" s="3"/>
      <c r="K119" s="5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4"/>
      <c r="J120" s="3"/>
      <c r="K120" s="5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4"/>
      <c r="J121" s="3"/>
      <c r="K121" s="5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4"/>
      <c r="J122" s="3"/>
      <c r="K122" s="5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4"/>
      <c r="J123" s="3"/>
      <c r="K123" s="5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4"/>
      <c r="J124" s="3"/>
      <c r="K124" s="5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4"/>
      <c r="J125" s="3"/>
      <c r="K125" s="5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4"/>
      <c r="J126" s="3"/>
      <c r="K126" s="5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4"/>
      <c r="J127" s="3"/>
      <c r="K127" s="5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4"/>
      <c r="J128" s="3"/>
      <c r="K128" s="5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4"/>
      <c r="J129" s="3"/>
      <c r="K129" s="5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4"/>
      <c r="J130" s="3"/>
      <c r="K130" s="5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4"/>
      <c r="J131" s="3"/>
      <c r="K131" s="5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4"/>
      <c r="J132" s="3"/>
      <c r="K132" s="5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4"/>
      <c r="J133" s="3"/>
      <c r="K133" s="5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4"/>
      <c r="J134" s="3"/>
      <c r="K134" s="5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4"/>
      <c r="J135" s="3"/>
      <c r="K135" s="5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4"/>
      <c r="J136" s="3"/>
      <c r="K136" s="5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4"/>
      <c r="J137" s="3"/>
      <c r="K137" s="5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4"/>
      <c r="J138" s="3"/>
      <c r="K138" s="5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4"/>
      <c r="J139" s="3"/>
      <c r="K139" s="5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4"/>
      <c r="J140" s="3"/>
      <c r="K140" s="5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4"/>
      <c r="J141" s="3"/>
      <c r="K141" s="5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4"/>
      <c r="J142" s="3"/>
      <c r="K142" s="5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4"/>
      <c r="J143" s="3"/>
      <c r="K143" s="5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4"/>
      <c r="J144" s="3"/>
      <c r="K144" s="5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4"/>
      <c r="J145" s="3"/>
      <c r="K145" s="5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4"/>
      <c r="J146" s="3"/>
      <c r="K146" s="5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4"/>
      <c r="J147" s="3"/>
      <c r="K147" s="5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4"/>
      <c r="J148" s="3"/>
      <c r="K148" s="5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4"/>
      <c r="J149" s="3"/>
      <c r="K149" s="5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4"/>
      <c r="J150" s="3"/>
      <c r="K150" s="5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4"/>
      <c r="J151" s="3"/>
      <c r="K151" s="5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4"/>
      <c r="J152" s="3"/>
      <c r="K152" s="5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4"/>
      <c r="J153" s="3"/>
      <c r="K153" s="5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4"/>
      <c r="J154" s="3"/>
      <c r="K154" s="5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4"/>
      <c r="J155" s="3"/>
      <c r="K155" s="5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4"/>
      <c r="J156" s="3"/>
      <c r="K156" s="5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4"/>
      <c r="J157" s="3"/>
      <c r="K157" s="5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4"/>
      <c r="J158" s="3"/>
      <c r="K158" s="5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4"/>
      <c r="J159" s="3"/>
      <c r="K159" s="5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4"/>
      <c r="J160" s="3"/>
      <c r="K160" s="5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4"/>
      <c r="J161" s="3"/>
      <c r="K161" s="5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4"/>
      <c r="J162" s="3"/>
      <c r="K162" s="5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4"/>
      <c r="J163" s="3"/>
      <c r="K163" s="5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4"/>
      <c r="J164" s="3"/>
      <c r="K164" s="5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4"/>
      <c r="J165" s="3"/>
      <c r="K165" s="5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4"/>
      <c r="J166" s="3"/>
      <c r="K166" s="5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4"/>
      <c r="J167" s="3"/>
      <c r="K167" s="5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4"/>
      <c r="J168" s="3"/>
      <c r="K168" s="5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4"/>
      <c r="J169" s="3"/>
      <c r="K169" s="5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4"/>
      <c r="J170" s="3"/>
      <c r="K170" s="5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4"/>
      <c r="J171" s="3"/>
      <c r="K171" s="5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4"/>
      <c r="J172" s="3"/>
      <c r="K172" s="5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4"/>
      <c r="J173" s="3"/>
      <c r="K173" s="5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4"/>
      <c r="J174" s="3"/>
      <c r="K174" s="5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4"/>
      <c r="J175" s="3"/>
      <c r="K175" s="5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4"/>
      <c r="J176" s="3"/>
      <c r="K176" s="5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4"/>
      <c r="J177" s="3"/>
      <c r="K177" s="5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4"/>
      <c r="J178" s="3"/>
      <c r="K178" s="5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4"/>
      <c r="J179" s="3"/>
      <c r="K179" s="5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4"/>
      <c r="J180" s="3"/>
      <c r="K180" s="5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4"/>
      <c r="J181" s="3"/>
      <c r="K181" s="5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4"/>
      <c r="J182" s="3"/>
      <c r="K182" s="5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4"/>
      <c r="J183" s="3"/>
      <c r="K183" s="5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4"/>
      <c r="J184" s="3"/>
      <c r="K184" s="5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4"/>
      <c r="J185" s="3"/>
      <c r="K185" s="5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4"/>
      <c r="J186" s="3"/>
      <c r="K186" s="5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4"/>
      <c r="J187" s="3"/>
      <c r="K187" s="5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4"/>
      <c r="J188" s="3"/>
      <c r="K188" s="5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4"/>
      <c r="J189" s="3"/>
      <c r="K189" s="5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4"/>
      <c r="J190" s="3"/>
      <c r="K190" s="5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4"/>
      <c r="J191" s="3"/>
      <c r="K191" s="5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4"/>
      <c r="J192" s="3"/>
      <c r="K192" s="5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4"/>
      <c r="J193" s="3"/>
      <c r="K193" s="5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4"/>
      <c r="J194" s="3"/>
      <c r="K194" s="5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4"/>
      <c r="J195" s="3"/>
      <c r="K195" s="5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4"/>
      <c r="J196" s="3"/>
      <c r="K196" s="5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4"/>
      <c r="J197" s="3"/>
      <c r="K197" s="5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4"/>
      <c r="J198" s="3"/>
      <c r="K198" s="5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4"/>
      <c r="J199" s="3"/>
      <c r="K199" s="5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4"/>
      <c r="J200" s="3"/>
      <c r="K200" s="5"/>
      <c r="L200" s="3"/>
      <c r="M200" s="3"/>
      <c r="N200" s="3"/>
      <c r="O200" s="3"/>
    </row>
    <row r="201" spans="1:15">
      <c r="A201" s="3"/>
      <c r="B201" s="3"/>
      <c r="C201" s="3"/>
      <c r="D201" s="3"/>
      <c r="E201" s="3"/>
      <c r="F201" s="3"/>
      <c r="G201" s="3"/>
      <c r="H201" s="3"/>
      <c r="I201" s="4"/>
      <c r="J201" s="3"/>
      <c r="K201" s="5"/>
      <c r="L201" s="3"/>
      <c r="M201" s="3"/>
      <c r="N201" s="3"/>
      <c r="O201" s="3"/>
    </row>
    <row r="202" spans="1:15">
      <c r="A202" s="3"/>
      <c r="B202" s="3"/>
      <c r="C202" s="3"/>
      <c r="D202" s="3"/>
      <c r="E202" s="3"/>
      <c r="F202" s="3"/>
      <c r="G202" s="3"/>
      <c r="H202" s="3"/>
      <c r="I202" s="4"/>
      <c r="J202" s="3"/>
      <c r="K202" s="5"/>
      <c r="L202" s="3"/>
      <c r="M202" s="3"/>
      <c r="N202" s="3"/>
      <c r="O202" s="3"/>
    </row>
    <row r="203" spans="1:15">
      <c r="A203" s="3"/>
      <c r="B203" s="3"/>
      <c r="C203" s="3"/>
      <c r="D203" s="3"/>
      <c r="E203" s="3"/>
      <c r="F203" s="3"/>
      <c r="G203" s="3"/>
      <c r="H203" s="3"/>
      <c r="I203" s="4"/>
      <c r="J203" s="3"/>
      <c r="K203" s="5"/>
      <c r="L203" s="3"/>
      <c r="M203" s="3"/>
      <c r="N203" s="3"/>
      <c r="O203" s="3"/>
    </row>
    <row r="204" spans="1:15">
      <c r="A204" s="3"/>
      <c r="B204" s="3"/>
      <c r="C204" s="3"/>
      <c r="D204" s="3"/>
      <c r="E204" s="3"/>
      <c r="F204" s="3"/>
      <c r="G204" s="3"/>
      <c r="H204" s="3"/>
      <c r="I204" s="4"/>
      <c r="J204" s="3"/>
      <c r="K204" s="5"/>
      <c r="L204" s="3"/>
      <c r="M204" s="3"/>
      <c r="N204" s="3"/>
      <c r="O204" s="3"/>
    </row>
    <row r="205" spans="1:15">
      <c r="A205" s="3"/>
      <c r="B205" s="3"/>
      <c r="C205" s="3"/>
      <c r="D205" s="3"/>
      <c r="E205" s="3"/>
      <c r="F205" s="3"/>
      <c r="G205" s="3"/>
      <c r="H205" s="3"/>
      <c r="I205" s="4"/>
      <c r="J205" s="3"/>
      <c r="K205" s="5"/>
      <c r="L205" s="3"/>
      <c r="M205" s="3"/>
      <c r="N205" s="3"/>
      <c r="O205" s="3"/>
    </row>
    <row r="206" spans="1:15">
      <c r="A206" s="3"/>
      <c r="B206" s="3"/>
      <c r="C206" s="3"/>
      <c r="D206" s="3"/>
      <c r="E206" s="3"/>
      <c r="F206" s="3"/>
      <c r="G206" s="3"/>
      <c r="H206" s="3"/>
      <c r="I206" s="4"/>
      <c r="J206" s="3"/>
      <c r="K206" s="5"/>
      <c r="L206" s="3"/>
      <c r="M206" s="3"/>
      <c r="N206" s="3"/>
      <c r="O206" s="3"/>
    </row>
    <row r="207" spans="1:15">
      <c r="A207" s="3"/>
      <c r="B207" s="3"/>
      <c r="C207" s="3"/>
      <c r="D207" s="3"/>
      <c r="E207" s="3"/>
      <c r="F207" s="3"/>
      <c r="G207" s="3"/>
      <c r="H207" s="3"/>
      <c r="I207" s="4"/>
      <c r="J207" s="3"/>
      <c r="K207" s="5"/>
      <c r="L207" s="3"/>
      <c r="M207" s="3"/>
      <c r="N207" s="3"/>
      <c r="O207" s="3"/>
    </row>
    <row r="208" spans="1:15">
      <c r="A208" s="3"/>
      <c r="B208" s="3"/>
      <c r="C208" s="3"/>
      <c r="D208" s="3"/>
      <c r="E208" s="3"/>
      <c r="F208" s="3"/>
      <c r="G208" s="3"/>
      <c r="H208" s="3"/>
      <c r="I208" s="4"/>
      <c r="J208" s="3"/>
      <c r="K208" s="5"/>
      <c r="L208" s="3"/>
      <c r="M208" s="3"/>
      <c r="N208" s="3"/>
      <c r="O208" s="3"/>
    </row>
    <row r="209" spans="1:15">
      <c r="A209" s="3"/>
      <c r="B209" s="3"/>
      <c r="C209" s="3"/>
      <c r="D209" s="3"/>
      <c r="E209" s="3"/>
      <c r="F209" s="3"/>
      <c r="G209" s="3"/>
      <c r="H209" s="3"/>
      <c r="I209" s="4"/>
      <c r="J209" s="3"/>
      <c r="K209" s="5"/>
      <c r="L209" s="3"/>
      <c r="M209" s="3"/>
      <c r="N209" s="3"/>
      <c r="O209" s="3"/>
    </row>
    <row r="210" spans="1:15">
      <c r="A210" s="3"/>
      <c r="B210" s="3"/>
      <c r="C210" s="3"/>
      <c r="D210" s="3"/>
      <c r="E210" s="3"/>
      <c r="F210" s="3"/>
      <c r="G210" s="3"/>
      <c r="H210" s="3"/>
      <c r="I210" s="4"/>
      <c r="J210" s="3"/>
      <c r="K210" s="5"/>
      <c r="L210" s="3"/>
      <c r="M210" s="3"/>
      <c r="N210" s="3"/>
      <c r="O210" s="3"/>
    </row>
    <row r="211" spans="1:15">
      <c r="A211" s="3"/>
      <c r="B211" s="3"/>
      <c r="C211" s="3"/>
      <c r="D211" s="3"/>
      <c r="E211" s="3"/>
      <c r="F211" s="3"/>
      <c r="G211" s="3"/>
      <c r="H211" s="3"/>
      <c r="I211" s="4"/>
      <c r="J211" s="3"/>
      <c r="K211" s="5"/>
      <c r="L211" s="3"/>
      <c r="M211" s="3"/>
      <c r="N211" s="3"/>
      <c r="O211" s="3"/>
    </row>
    <row r="212" spans="1:15">
      <c r="A212" s="3"/>
      <c r="B212" s="3"/>
      <c r="C212" s="3"/>
      <c r="D212" s="3"/>
      <c r="E212" s="3"/>
      <c r="F212" s="3"/>
      <c r="G212" s="3"/>
      <c r="H212" s="3"/>
      <c r="I212" s="4"/>
      <c r="J212" s="3"/>
      <c r="K212" s="5"/>
      <c r="L212" s="3"/>
      <c r="M212" s="3"/>
      <c r="N212" s="3"/>
      <c r="O212" s="3"/>
    </row>
    <row r="213" spans="1:15">
      <c r="A213" s="3"/>
      <c r="B213" s="3"/>
      <c r="C213" s="3"/>
      <c r="D213" s="3"/>
      <c r="E213" s="3"/>
      <c r="F213" s="3"/>
      <c r="G213" s="3"/>
      <c r="H213" s="3"/>
      <c r="I213" s="4"/>
      <c r="J213" s="3"/>
      <c r="K213" s="5"/>
      <c r="L213" s="3"/>
      <c r="M213" s="3"/>
      <c r="N213" s="3"/>
      <c r="O213" s="3"/>
    </row>
    <row r="214" spans="1:15">
      <c r="A214" s="3"/>
      <c r="B214" s="3"/>
      <c r="C214" s="3"/>
      <c r="D214" s="3"/>
      <c r="E214" s="3"/>
      <c r="F214" s="3"/>
      <c r="G214" s="3"/>
      <c r="H214" s="3"/>
      <c r="I214" s="4"/>
      <c r="J214" s="3"/>
      <c r="K214" s="5"/>
      <c r="L214" s="3"/>
      <c r="M214" s="3"/>
      <c r="N214" s="3"/>
      <c r="O214" s="3"/>
    </row>
    <row r="215" spans="1:15">
      <c r="A215" s="3"/>
      <c r="B215" s="3"/>
      <c r="C215" s="3"/>
      <c r="D215" s="3"/>
      <c r="E215" s="3"/>
      <c r="F215" s="3"/>
      <c r="G215" s="3"/>
      <c r="H215" s="3"/>
      <c r="I215" s="4"/>
      <c r="J215" s="3"/>
      <c r="K215" s="5"/>
      <c r="L215" s="3"/>
      <c r="M215" s="3"/>
      <c r="N215" s="3"/>
      <c r="O215" s="3"/>
    </row>
    <row r="216" spans="1:15">
      <c r="A216" s="3"/>
      <c r="B216" s="3"/>
      <c r="C216" s="3"/>
      <c r="D216" s="3"/>
      <c r="E216" s="3"/>
      <c r="F216" s="3"/>
      <c r="G216" s="3"/>
      <c r="H216" s="3"/>
      <c r="I216" s="4"/>
      <c r="J216" s="3"/>
      <c r="K216" s="5"/>
      <c r="L216" s="3"/>
      <c r="M216" s="3"/>
      <c r="N216" s="3"/>
      <c r="O216" s="3"/>
    </row>
    <row r="217" spans="1:15">
      <c r="A217" s="3"/>
      <c r="B217" s="3"/>
      <c r="C217" s="3"/>
      <c r="D217" s="3"/>
      <c r="E217" s="3"/>
      <c r="F217" s="3"/>
      <c r="G217" s="3"/>
      <c r="H217" s="3"/>
      <c r="I217" s="4"/>
      <c r="J217" s="3"/>
      <c r="K217" s="5"/>
      <c r="L217" s="3"/>
      <c r="M217" s="3"/>
      <c r="N217" s="3"/>
      <c r="O217" s="3"/>
    </row>
    <row r="218" spans="1:15">
      <c r="A218" s="3"/>
      <c r="B218" s="3"/>
      <c r="C218" s="3"/>
      <c r="D218" s="3"/>
      <c r="E218" s="3"/>
      <c r="F218" s="3"/>
      <c r="G218" s="3"/>
      <c r="H218" s="3"/>
      <c r="I218" s="4"/>
      <c r="J218" s="3"/>
      <c r="K218" s="5"/>
      <c r="L218" s="3"/>
      <c r="M218" s="3"/>
      <c r="N218" s="3"/>
      <c r="O218" s="3"/>
    </row>
    <row r="219" spans="1:15">
      <c r="A219" s="3"/>
      <c r="B219" s="3"/>
      <c r="C219" s="3"/>
      <c r="D219" s="3"/>
      <c r="E219" s="3"/>
      <c r="F219" s="3"/>
      <c r="G219" s="3"/>
      <c r="H219" s="3"/>
      <c r="I219" s="4"/>
      <c r="J219" s="3"/>
      <c r="K219" s="5"/>
      <c r="L219" s="3"/>
      <c r="M219" s="3"/>
      <c r="N219" s="3"/>
      <c r="O219" s="3"/>
    </row>
    <row r="220" spans="1:15">
      <c r="A220" s="3"/>
      <c r="B220" s="3"/>
      <c r="C220" s="3"/>
      <c r="D220" s="3"/>
      <c r="E220" s="3"/>
      <c r="F220" s="3"/>
      <c r="G220" s="3"/>
      <c r="H220" s="3"/>
      <c r="I220" s="4"/>
      <c r="J220" s="3"/>
      <c r="K220" s="5"/>
      <c r="L220" s="3"/>
      <c r="M220" s="3"/>
      <c r="N220" s="3"/>
      <c r="O220" s="3"/>
    </row>
    <row r="221" spans="1:15">
      <c r="A221" s="3"/>
      <c r="B221" s="3"/>
      <c r="C221" s="3"/>
      <c r="D221" s="3"/>
      <c r="E221" s="3"/>
      <c r="F221" s="3"/>
      <c r="G221" s="3"/>
      <c r="H221" s="3"/>
      <c r="I221" s="4"/>
      <c r="J221" s="3"/>
      <c r="K221" s="5"/>
      <c r="L221" s="3"/>
      <c r="M221" s="3"/>
      <c r="N221" s="3"/>
      <c r="O221" s="3"/>
    </row>
    <row r="222" spans="1:15">
      <c r="A222" s="3"/>
      <c r="B222" s="3"/>
      <c r="C222" s="3"/>
      <c r="D222" s="3"/>
      <c r="E222" s="3"/>
      <c r="F222" s="3"/>
      <c r="G222" s="3"/>
      <c r="H222" s="3"/>
      <c r="I222" s="4"/>
      <c r="J222" s="3"/>
      <c r="K222" s="5"/>
      <c r="L222" s="3"/>
      <c r="M222" s="3"/>
      <c r="N222" s="3"/>
      <c r="O222" s="3"/>
    </row>
    <row r="223" spans="1:15">
      <c r="A223" s="3"/>
      <c r="B223" s="3"/>
      <c r="C223" s="3"/>
      <c r="D223" s="3"/>
      <c r="E223" s="3"/>
      <c r="F223" s="3"/>
      <c r="G223" s="3"/>
      <c r="H223" s="3"/>
      <c r="I223" s="4"/>
      <c r="J223" s="3"/>
      <c r="K223" s="5"/>
      <c r="L223" s="3"/>
      <c r="M223" s="3"/>
      <c r="N223" s="3"/>
      <c r="O223" s="3"/>
    </row>
    <row r="224" spans="1:15">
      <c r="A224" s="3"/>
      <c r="B224" s="3"/>
      <c r="C224" s="3"/>
      <c r="D224" s="3"/>
      <c r="E224" s="3"/>
      <c r="F224" s="3"/>
      <c r="G224" s="3"/>
      <c r="H224" s="3"/>
      <c r="I224" s="4"/>
      <c r="J224" s="3"/>
      <c r="K224" s="5"/>
      <c r="L224" s="3"/>
      <c r="M224" s="3"/>
      <c r="N224" s="3"/>
      <c r="O224" s="3"/>
    </row>
    <row r="225" spans="1:15">
      <c r="A225" s="3"/>
      <c r="B225" s="3"/>
      <c r="C225" s="3"/>
      <c r="D225" s="3"/>
      <c r="E225" s="3"/>
      <c r="F225" s="3"/>
      <c r="G225" s="3"/>
      <c r="H225" s="3"/>
      <c r="I225" s="4"/>
      <c r="J225" s="3"/>
      <c r="K225" s="5"/>
      <c r="L225" s="3"/>
      <c r="M225" s="3"/>
      <c r="N225" s="3"/>
      <c r="O225" s="3"/>
    </row>
    <row r="226" spans="1:15">
      <c r="A226" s="3"/>
      <c r="B226" s="3"/>
      <c r="C226" s="3"/>
      <c r="D226" s="3"/>
      <c r="E226" s="3"/>
      <c r="F226" s="3"/>
      <c r="G226" s="3"/>
      <c r="H226" s="3"/>
      <c r="I226" s="4"/>
      <c r="J226" s="3"/>
      <c r="K226" s="5"/>
      <c r="L226" s="3"/>
      <c r="M226" s="3"/>
      <c r="N226" s="3"/>
      <c r="O226" s="3"/>
    </row>
    <row r="227" spans="1:15">
      <c r="A227" s="3"/>
      <c r="B227" s="3"/>
      <c r="C227" s="3"/>
      <c r="D227" s="3"/>
      <c r="E227" s="3"/>
      <c r="F227" s="3"/>
      <c r="G227" s="3"/>
      <c r="H227" s="3"/>
      <c r="I227" s="4"/>
      <c r="J227" s="3"/>
      <c r="K227" s="5"/>
      <c r="L227" s="3"/>
      <c r="M227" s="3"/>
      <c r="N227" s="3"/>
      <c r="O227" s="3"/>
    </row>
    <row r="228" spans="1:15">
      <c r="A228" s="3"/>
      <c r="B228" s="3"/>
      <c r="C228" s="3"/>
      <c r="D228" s="3"/>
      <c r="E228" s="3"/>
      <c r="F228" s="3"/>
      <c r="G228" s="3"/>
      <c r="H228" s="3"/>
      <c r="I228" s="4"/>
      <c r="J228" s="3"/>
      <c r="K228" s="5"/>
      <c r="L228" s="3"/>
      <c r="M228" s="3"/>
      <c r="N228" s="3"/>
      <c r="O228" s="3"/>
    </row>
    <row r="229" spans="1:15">
      <c r="A229" s="3"/>
      <c r="B229" s="3"/>
      <c r="C229" s="3"/>
      <c r="D229" s="3"/>
      <c r="E229" s="3"/>
      <c r="F229" s="3"/>
      <c r="G229" s="3"/>
      <c r="H229" s="3"/>
      <c r="I229" s="4"/>
      <c r="J229" s="3"/>
      <c r="K229" s="5"/>
      <c r="L229" s="3"/>
      <c r="M229" s="3"/>
      <c r="N229" s="3"/>
      <c r="O229" s="3"/>
    </row>
    <row r="230" spans="1:15">
      <c r="A230" s="3"/>
      <c r="B230" s="3"/>
      <c r="C230" s="3"/>
      <c r="D230" s="3"/>
      <c r="E230" s="3"/>
      <c r="F230" s="3"/>
      <c r="G230" s="3"/>
      <c r="H230" s="3"/>
      <c r="I230" s="4"/>
      <c r="J230" s="3"/>
      <c r="K230" s="5"/>
      <c r="L230" s="3"/>
      <c r="M230" s="3"/>
      <c r="N230" s="3"/>
      <c r="O230" s="3"/>
    </row>
    <row r="231" spans="1:15">
      <c r="A231" s="3"/>
      <c r="B231" s="3"/>
      <c r="C231" s="3"/>
      <c r="D231" s="3"/>
      <c r="E231" s="3"/>
      <c r="F231" s="3"/>
      <c r="G231" s="3"/>
      <c r="H231" s="3"/>
      <c r="I231" s="4"/>
      <c r="J231" s="3"/>
      <c r="K231" s="5"/>
      <c r="L231" s="3"/>
      <c r="M231" s="3"/>
      <c r="N231" s="3"/>
      <c r="O231" s="3"/>
    </row>
    <row r="232" spans="1:15">
      <c r="A232" s="3"/>
      <c r="B232" s="3"/>
      <c r="C232" s="3"/>
      <c r="D232" s="3"/>
      <c r="E232" s="3"/>
      <c r="F232" s="3"/>
      <c r="G232" s="3"/>
      <c r="H232" s="3"/>
      <c r="I232" s="4"/>
      <c r="J232" s="3"/>
      <c r="K232" s="5"/>
      <c r="L232" s="3"/>
      <c r="M232" s="3"/>
      <c r="N232" s="3"/>
      <c r="O232" s="3"/>
    </row>
    <row r="233" spans="1:15">
      <c r="A233" s="3"/>
      <c r="B233" s="3"/>
      <c r="C233" s="3"/>
      <c r="D233" s="3"/>
      <c r="E233" s="3"/>
      <c r="F233" s="3"/>
      <c r="G233" s="3"/>
      <c r="H233" s="3"/>
      <c r="I233" s="4"/>
      <c r="J233" s="3"/>
      <c r="K233" s="5"/>
      <c r="L233" s="3"/>
      <c r="M233" s="3"/>
      <c r="N233" s="3"/>
      <c r="O233" s="3"/>
    </row>
    <row r="234" spans="1:15">
      <c r="A234" s="3"/>
      <c r="B234" s="3"/>
      <c r="C234" s="3"/>
      <c r="D234" s="3"/>
      <c r="E234" s="3"/>
      <c r="F234" s="3"/>
      <c r="G234" s="3"/>
      <c r="H234" s="3"/>
      <c r="I234" s="4"/>
      <c r="J234" s="3"/>
      <c r="K234" s="5"/>
      <c r="L234" s="3"/>
      <c r="M234" s="3"/>
      <c r="N234" s="3"/>
      <c r="O234" s="3"/>
    </row>
    <row r="235" spans="1:15">
      <c r="A235" s="3"/>
      <c r="B235" s="3"/>
      <c r="C235" s="3"/>
      <c r="D235" s="3"/>
      <c r="E235" s="3"/>
      <c r="F235" s="3"/>
      <c r="G235" s="3"/>
      <c r="H235" s="3"/>
      <c r="I235" s="4"/>
      <c r="J235" s="3"/>
      <c r="K235" s="5"/>
      <c r="L235" s="3"/>
      <c r="M235" s="3"/>
      <c r="N235" s="3"/>
      <c r="O235" s="3"/>
    </row>
    <row r="236" spans="1:15">
      <c r="A236" s="3"/>
      <c r="B236" s="3"/>
      <c r="C236" s="3"/>
      <c r="D236" s="3"/>
      <c r="E236" s="3"/>
      <c r="F236" s="3"/>
      <c r="G236" s="3"/>
      <c r="H236" s="3"/>
      <c r="I236" s="4"/>
      <c r="J236" s="3"/>
      <c r="K236" s="5"/>
      <c r="L236" s="3"/>
      <c r="M236" s="3"/>
      <c r="N236" s="3"/>
      <c r="O236" s="3"/>
    </row>
    <row r="237" spans="1:15">
      <c r="A237" s="3"/>
      <c r="B237" s="3"/>
      <c r="C237" s="3"/>
      <c r="D237" s="3"/>
      <c r="E237" s="3"/>
      <c r="F237" s="3"/>
      <c r="G237" s="3"/>
      <c r="H237" s="3"/>
      <c r="I237" s="4"/>
      <c r="J237" s="3"/>
      <c r="K237" s="5"/>
      <c r="L237" s="3"/>
      <c r="M237" s="3"/>
      <c r="N237" s="3"/>
      <c r="O237" s="3"/>
    </row>
    <row r="238" spans="1:15">
      <c r="A238" s="3"/>
      <c r="B238" s="3"/>
      <c r="C238" s="3"/>
      <c r="D238" s="3"/>
      <c r="E238" s="3"/>
      <c r="F238" s="3"/>
      <c r="G238" s="3"/>
      <c r="H238" s="3"/>
      <c r="I238" s="4"/>
      <c r="J238" s="3"/>
      <c r="K238" s="5"/>
      <c r="L238" s="3"/>
      <c r="M238" s="3"/>
      <c r="N238" s="3"/>
      <c r="O238" s="3"/>
    </row>
    <row r="239" spans="1:15">
      <c r="A239" s="3"/>
      <c r="B239" s="3"/>
      <c r="C239" s="3"/>
      <c r="D239" s="3"/>
      <c r="E239" s="3"/>
      <c r="F239" s="3"/>
      <c r="G239" s="3"/>
      <c r="H239" s="3"/>
      <c r="I239" s="4"/>
      <c r="J239" s="3"/>
      <c r="K239" s="5"/>
      <c r="L239" s="3"/>
      <c r="M239" s="3"/>
      <c r="N239" s="3"/>
      <c r="O239" s="3"/>
    </row>
    <row r="240" spans="1:15">
      <c r="A240" s="3"/>
      <c r="B240" s="3"/>
      <c r="C240" s="3"/>
      <c r="D240" s="3"/>
      <c r="E240" s="3"/>
      <c r="F240" s="3"/>
      <c r="G240" s="3"/>
      <c r="H240" s="3"/>
      <c r="I240" s="4"/>
      <c r="J240" s="3"/>
      <c r="K240" s="5"/>
      <c r="L240" s="3"/>
      <c r="M240" s="3"/>
      <c r="N240" s="3"/>
      <c r="O240" s="3"/>
    </row>
    <row r="241" spans="1:15">
      <c r="A241" s="3"/>
      <c r="B241" s="3"/>
      <c r="C241" s="3"/>
      <c r="D241" s="3"/>
      <c r="E241" s="3"/>
      <c r="F241" s="3"/>
      <c r="G241" s="3"/>
      <c r="H241" s="3"/>
      <c r="I241" s="4"/>
      <c r="J241" s="3"/>
      <c r="K241" s="5"/>
      <c r="L241" s="3"/>
      <c r="M241" s="3"/>
      <c r="N241" s="3"/>
      <c r="O241" s="3"/>
    </row>
    <row r="242" spans="1:15">
      <c r="A242" s="3"/>
      <c r="B242" s="3"/>
      <c r="C242" s="3"/>
      <c r="D242" s="3"/>
      <c r="E242" s="3"/>
      <c r="F242" s="3"/>
      <c r="G242" s="3"/>
      <c r="H242" s="3"/>
      <c r="I242" s="4"/>
      <c r="J242" s="3"/>
      <c r="K242" s="5"/>
      <c r="L242" s="3"/>
      <c r="M242" s="3"/>
      <c r="N242" s="3"/>
      <c r="O242" s="3"/>
    </row>
    <row r="243" spans="1:15">
      <c r="A243" s="3"/>
      <c r="B243" s="3"/>
      <c r="C243" s="3"/>
      <c r="D243" s="3"/>
      <c r="E243" s="3"/>
      <c r="F243" s="3"/>
      <c r="G243" s="3"/>
      <c r="H243" s="3"/>
      <c r="I243" s="4"/>
      <c r="J243" s="3"/>
      <c r="K243" s="5"/>
      <c r="L243" s="3"/>
      <c r="M243" s="3"/>
      <c r="N243" s="3"/>
      <c r="O243" s="3"/>
    </row>
    <row r="244" spans="1:15">
      <c r="A244" s="3"/>
      <c r="B244" s="3"/>
      <c r="C244" s="3"/>
      <c r="D244" s="3"/>
      <c r="E244" s="3"/>
      <c r="F244" s="3"/>
      <c r="G244" s="3"/>
      <c r="H244" s="3"/>
      <c r="I244" s="4"/>
      <c r="J244" s="3"/>
      <c r="K244" s="5"/>
      <c r="L244" s="3"/>
      <c r="M244" s="3"/>
      <c r="N244" s="3"/>
      <c r="O244" s="3"/>
    </row>
    <row r="245" spans="1:15">
      <c r="A245" s="3"/>
      <c r="B245" s="3"/>
      <c r="C245" s="3"/>
      <c r="D245" s="3"/>
      <c r="E245" s="3"/>
      <c r="F245" s="3"/>
      <c r="G245" s="3"/>
      <c r="H245" s="3"/>
      <c r="I245" s="4"/>
      <c r="J245" s="3"/>
      <c r="K245" s="5"/>
      <c r="L245" s="3"/>
      <c r="M245" s="3"/>
      <c r="N245" s="3"/>
      <c r="O245" s="3"/>
    </row>
    <row r="246" spans="1:15">
      <c r="A246" s="3"/>
      <c r="B246" s="3"/>
      <c r="C246" s="3"/>
      <c r="D246" s="3"/>
      <c r="E246" s="3"/>
      <c r="F246" s="3"/>
      <c r="G246" s="3"/>
      <c r="H246" s="3"/>
      <c r="I246" s="4"/>
      <c r="J246" s="3"/>
      <c r="K246" s="5"/>
      <c r="L246" s="3"/>
      <c r="M246" s="3"/>
      <c r="N246" s="3"/>
      <c r="O246" s="3"/>
    </row>
    <row r="247" spans="1:15">
      <c r="A247" s="3"/>
      <c r="B247" s="3"/>
      <c r="C247" s="3"/>
      <c r="D247" s="3"/>
      <c r="E247" s="3"/>
      <c r="F247" s="3"/>
      <c r="G247" s="3"/>
      <c r="H247" s="3"/>
      <c r="I247" s="4"/>
      <c r="J247" s="3"/>
      <c r="K247" s="5"/>
      <c r="L247" s="3"/>
      <c r="M247" s="3"/>
      <c r="N247" s="3"/>
      <c r="O247" s="3"/>
    </row>
    <row r="248" spans="1:15">
      <c r="A248" s="3"/>
      <c r="B248" s="3"/>
      <c r="C248" s="3"/>
      <c r="D248" s="3"/>
      <c r="E248" s="3"/>
      <c r="F248" s="3"/>
      <c r="G248" s="3"/>
      <c r="H248" s="3"/>
      <c r="I248" s="4"/>
      <c r="J248" s="3"/>
      <c r="K248" s="5"/>
      <c r="L248" s="3"/>
      <c r="M248" s="3"/>
      <c r="N248" s="3"/>
      <c r="O248" s="3"/>
    </row>
    <row r="249" spans="1:15">
      <c r="A249" s="3"/>
      <c r="B249" s="3"/>
      <c r="C249" s="3"/>
      <c r="D249" s="3"/>
      <c r="E249" s="3"/>
      <c r="F249" s="3"/>
      <c r="G249" s="3"/>
      <c r="H249" s="3"/>
      <c r="I249" s="4"/>
      <c r="J249" s="3"/>
      <c r="K249" s="5"/>
      <c r="L249" s="3"/>
      <c r="M249" s="3"/>
      <c r="N249" s="3"/>
      <c r="O249" s="3"/>
    </row>
    <row r="250" spans="1:15">
      <c r="A250" s="3"/>
      <c r="B250" s="3"/>
      <c r="C250" s="3"/>
      <c r="D250" s="3"/>
      <c r="E250" s="3"/>
      <c r="F250" s="3"/>
      <c r="G250" s="3"/>
      <c r="H250" s="3"/>
      <c r="I250" s="4"/>
      <c r="J250" s="3"/>
      <c r="K250" s="5"/>
      <c r="L250" s="3"/>
      <c r="M250" s="3"/>
      <c r="N250" s="3"/>
      <c r="O250" s="3"/>
    </row>
    <row r="251" spans="1:15">
      <c r="A251" s="3"/>
      <c r="B251" s="3"/>
      <c r="C251" s="3"/>
      <c r="D251" s="3"/>
      <c r="E251" s="3"/>
      <c r="F251" s="3"/>
      <c r="G251" s="3"/>
      <c r="H251" s="3"/>
      <c r="I251" s="4"/>
      <c r="J251" s="3"/>
      <c r="K251" s="5"/>
      <c r="L251" s="3"/>
      <c r="M251" s="3"/>
      <c r="N251" s="3"/>
      <c r="O251" s="3"/>
    </row>
    <row r="252" spans="1:15">
      <c r="A252" s="3"/>
      <c r="B252" s="3"/>
      <c r="C252" s="3"/>
      <c r="D252" s="3"/>
      <c r="E252" s="3"/>
      <c r="F252" s="3"/>
      <c r="G252" s="3"/>
      <c r="H252" s="3"/>
      <c r="I252" s="4"/>
      <c r="J252" s="3"/>
      <c r="K252" s="5"/>
      <c r="L252" s="3"/>
      <c r="M252" s="3"/>
      <c r="N252" s="3"/>
      <c r="O252" s="3"/>
    </row>
    <row r="253" spans="1:15">
      <c r="A253" s="3"/>
      <c r="B253" s="3"/>
      <c r="C253" s="3"/>
      <c r="D253" s="3"/>
      <c r="E253" s="3"/>
      <c r="F253" s="3"/>
      <c r="G253" s="3"/>
      <c r="H253" s="3"/>
      <c r="I253" s="4"/>
      <c r="J253" s="3"/>
      <c r="K253" s="5"/>
      <c r="L253" s="3"/>
      <c r="M253" s="3"/>
      <c r="N253" s="3"/>
      <c r="O253" s="3"/>
    </row>
    <row r="254" spans="1:15">
      <c r="A254" s="3"/>
      <c r="B254" s="3"/>
      <c r="C254" s="3"/>
      <c r="D254" s="3"/>
      <c r="E254" s="3"/>
      <c r="F254" s="3"/>
      <c r="G254" s="3"/>
      <c r="H254" s="3"/>
      <c r="I254" s="4"/>
      <c r="J254" s="3"/>
      <c r="K254" s="5"/>
      <c r="L254" s="3"/>
      <c r="M254" s="3"/>
      <c r="N254" s="3"/>
      <c r="O254" s="3"/>
    </row>
    <row r="255" spans="1:15">
      <c r="A255" s="3"/>
      <c r="B255" s="3"/>
      <c r="C255" s="3"/>
      <c r="D255" s="3"/>
      <c r="E255" s="3"/>
      <c r="F255" s="3"/>
      <c r="G255" s="3"/>
      <c r="H255" s="3"/>
      <c r="I255" s="4"/>
      <c r="J255" s="3"/>
      <c r="K255" s="5"/>
      <c r="L255" s="3"/>
      <c r="M255" s="3"/>
      <c r="N255" s="3"/>
      <c r="O255" s="3"/>
    </row>
    <row r="256" spans="1:15">
      <c r="A256" s="3"/>
      <c r="B256" s="3"/>
      <c r="C256" s="3"/>
      <c r="D256" s="3"/>
      <c r="E256" s="3"/>
      <c r="F256" s="3"/>
      <c r="G256" s="3"/>
      <c r="H256" s="3"/>
      <c r="I256" s="4"/>
      <c r="J256" s="3"/>
      <c r="K256" s="5"/>
      <c r="L256" s="3"/>
      <c r="M256" s="3"/>
      <c r="N256" s="3"/>
      <c r="O256" s="3"/>
    </row>
    <row r="257" spans="1:15">
      <c r="A257" s="3"/>
      <c r="B257" s="3"/>
      <c r="C257" s="3"/>
      <c r="D257" s="3"/>
      <c r="E257" s="3"/>
      <c r="F257" s="3"/>
      <c r="G257" s="3"/>
      <c r="H257" s="3"/>
      <c r="I257" s="4"/>
      <c r="J257" s="3"/>
      <c r="K257" s="5"/>
      <c r="L257" s="3"/>
      <c r="M257" s="3"/>
      <c r="N257" s="3"/>
      <c r="O257" s="3"/>
    </row>
    <row r="258" spans="1:15">
      <c r="A258" s="3"/>
      <c r="B258" s="3"/>
      <c r="C258" s="3"/>
      <c r="D258" s="3"/>
      <c r="E258" s="3"/>
      <c r="F258" s="3"/>
      <c r="G258" s="3"/>
      <c r="H258" s="3"/>
      <c r="I258" s="4"/>
      <c r="J258" s="3"/>
      <c r="K258" s="5"/>
      <c r="L258" s="3"/>
      <c r="M258" s="3"/>
      <c r="N258" s="3"/>
      <c r="O258" s="3"/>
    </row>
    <row r="259" spans="1:15">
      <c r="A259" s="3"/>
      <c r="B259" s="3"/>
      <c r="C259" s="3"/>
      <c r="D259" s="3"/>
      <c r="E259" s="3"/>
      <c r="F259" s="3"/>
      <c r="G259" s="3"/>
      <c r="H259" s="3"/>
      <c r="I259" s="4"/>
      <c r="J259" s="3"/>
      <c r="K259" s="5"/>
      <c r="L259" s="3"/>
      <c r="M259" s="3"/>
      <c r="N259" s="3"/>
      <c r="O259" s="3"/>
    </row>
    <row r="260" spans="1:15">
      <c r="A260" s="3"/>
      <c r="B260" s="3"/>
      <c r="C260" s="3"/>
      <c r="D260" s="3"/>
      <c r="E260" s="3"/>
      <c r="F260" s="3"/>
      <c r="G260" s="3"/>
      <c r="H260" s="3"/>
      <c r="I260" s="4"/>
      <c r="J260" s="3"/>
      <c r="K260" s="5"/>
      <c r="L260" s="3"/>
      <c r="M260" s="3"/>
      <c r="N260" s="3"/>
      <c r="O260" s="3"/>
    </row>
    <row r="261" spans="1:15">
      <c r="A261" s="3"/>
      <c r="B261" s="3"/>
      <c r="C261" s="3"/>
      <c r="D261" s="3"/>
      <c r="E261" s="3"/>
      <c r="F261" s="3"/>
      <c r="G261" s="3"/>
      <c r="H261" s="3"/>
      <c r="I261" s="4"/>
      <c r="J261" s="3"/>
      <c r="K261" s="5"/>
      <c r="L261" s="3"/>
      <c r="M261" s="3"/>
      <c r="N261" s="3"/>
      <c r="O261" s="3"/>
    </row>
    <row r="262" spans="1:15">
      <c r="A262" s="3"/>
      <c r="B262" s="3"/>
      <c r="C262" s="3"/>
      <c r="D262" s="3"/>
      <c r="E262" s="3"/>
      <c r="F262" s="3"/>
      <c r="G262" s="3"/>
      <c r="H262" s="3"/>
      <c r="I262" s="4"/>
      <c r="J262" s="3"/>
      <c r="K262" s="5"/>
      <c r="L262" s="3"/>
      <c r="M262" s="3"/>
      <c r="N262" s="3"/>
      <c r="O262" s="3"/>
    </row>
    <row r="263" spans="1:15">
      <c r="A263" s="3"/>
      <c r="B263" s="3"/>
      <c r="C263" s="3"/>
      <c r="D263" s="3"/>
      <c r="E263" s="3"/>
      <c r="F263" s="3"/>
      <c r="G263" s="3"/>
      <c r="H263" s="3"/>
      <c r="I263" s="4"/>
      <c r="J263" s="3"/>
      <c r="K263" s="5"/>
      <c r="L263" s="3"/>
      <c r="M263" s="3"/>
      <c r="N263" s="3"/>
      <c r="O263" s="3"/>
    </row>
    <row r="264" spans="1:15">
      <c r="A264" s="3"/>
      <c r="B264" s="3"/>
      <c r="C264" s="3"/>
      <c r="D264" s="3"/>
      <c r="E264" s="3"/>
      <c r="F264" s="3"/>
      <c r="G264" s="3"/>
      <c r="H264" s="3"/>
      <c r="I264" s="4"/>
      <c r="J264" s="3"/>
      <c r="K264" s="5"/>
      <c r="L264" s="3"/>
      <c r="M264" s="3"/>
      <c r="N264" s="3"/>
      <c r="O264" s="3"/>
    </row>
    <row r="265" spans="1:15">
      <c r="A265" s="3"/>
      <c r="B265" s="3"/>
      <c r="C265" s="3"/>
      <c r="D265" s="3"/>
      <c r="E265" s="3"/>
      <c r="F265" s="3"/>
      <c r="G265" s="3"/>
      <c r="H265" s="3"/>
      <c r="I265" s="4"/>
      <c r="J265" s="3"/>
      <c r="K265" s="5"/>
      <c r="L265" s="3"/>
      <c r="M265" s="3"/>
      <c r="N265" s="3"/>
      <c r="O265" s="3"/>
    </row>
    <row r="266" spans="1:15">
      <c r="A266" s="3"/>
      <c r="B266" s="3"/>
      <c r="C266" s="3"/>
      <c r="D266" s="3"/>
      <c r="E266" s="3"/>
      <c r="F266" s="3"/>
      <c r="G266" s="3"/>
      <c r="H266" s="3"/>
      <c r="I266" s="4"/>
      <c r="J266" s="3"/>
      <c r="K266" s="5"/>
      <c r="L266" s="3"/>
      <c r="M266" s="3"/>
      <c r="N266" s="3"/>
      <c r="O266" s="3"/>
    </row>
    <row r="267" spans="1:15">
      <c r="A267" s="3"/>
      <c r="B267" s="3"/>
      <c r="C267" s="3"/>
      <c r="D267" s="3"/>
      <c r="E267" s="3"/>
      <c r="F267" s="3"/>
      <c r="G267" s="3"/>
      <c r="H267" s="3"/>
      <c r="I267" s="4"/>
      <c r="J267" s="3"/>
      <c r="K267" s="5"/>
      <c r="L267" s="3"/>
      <c r="M267" s="3"/>
      <c r="N267" s="3"/>
      <c r="O267" s="3"/>
    </row>
    <row r="268" spans="1:15">
      <c r="A268" s="3"/>
      <c r="B268" s="3"/>
      <c r="C268" s="3"/>
      <c r="D268" s="3"/>
      <c r="E268" s="3"/>
      <c r="F268" s="3"/>
      <c r="G268" s="3"/>
      <c r="H268" s="3"/>
      <c r="I268" s="4"/>
      <c r="J268" s="3"/>
      <c r="K268" s="5"/>
      <c r="L268" s="3"/>
      <c r="M268" s="3"/>
      <c r="N268" s="3"/>
      <c r="O268" s="3"/>
    </row>
    <row r="269" spans="1:15">
      <c r="A269" s="3"/>
      <c r="B269" s="3"/>
      <c r="C269" s="3"/>
      <c r="D269" s="3"/>
      <c r="E269" s="3"/>
      <c r="F269" s="3"/>
      <c r="G269" s="3"/>
      <c r="H269" s="3"/>
      <c r="I269" s="4"/>
      <c r="J269" s="3"/>
      <c r="K269" s="5"/>
      <c r="L269" s="3"/>
      <c r="M269" s="3"/>
      <c r="N269" s="3"/>
      <c r="O269" s="3"/>
    </row>
    <row r="270" spans="1:15">
      <c r="A270" s="3"/>
      <c r="B270" s="3"/>
      <c r="C270" s="3"/>
      <c r="D270" s="3"/>
      <c r="E270" s="3"/>
      <c r="F270" s="3"/>
      <c r="G270" s="3"/>
      <c r="H270" s="3"/>
      <c r="I270" s="4"/>
      <c r="J270" s="3"/>
      <c r="K270" s="5"/>
      <c r="L270" s="3"/>
      <c r="M270" s="3"/>
      <c r="N270" s="3"/>
      <c r="O270" s="3"/>
    </row>
    <row r="271" spans="1:15">
      <c r="A271" s="3"/>
      <c r="B271" s="3"/>
      <c r="C271" s="3"/>
      <c r="D271" s="3"/>
      <c r="E271" s="3"/>
      <c r="F271" s="3"/>
      <c r="G271" s="3"/>
      <c r="H271" s="3"/>
      <c r="I271" s="4"/>
      <c r="J271" s="3"/>
      <c r="K271" s="5"/>
      <c r="L271" s="3"/>
      <c r="M271" s="3"/>
      <c r="N271" s="3"/>
      <c r="O271" s="3"/>
    </row>
    <row r="272" spans="1:15">
      <c r="A272" s="3"/>
      <c r="B272" s="3"/>
      <c r="C272" s="3"/>
      <c r="D272" s="3"/>
      <c r="E272" s="3"/>
      <c r="F272" s="3"/>
      <c r="G272" s="3"/>
      <c r="H272" s="3"/>
      <c r="I272" s="4"/>
      <c r="J272" s="3"/>
      <c r="K272" s="5"/>
      <c r="L272" s="3"/>
      <c r="M272" s="3"/>
      <c r="N272" s="3"/>
      <c r="O272" s="3"/>
    </row>
    <row r="273" spans="1:15">
      <c r="A273" s="3"/>
      <c r="B273" s="3"/>
      <c r="C273" s="3"/>
      <c r="D273" s="3"/>
      <c r="E273" s="3"/>
      <c r="F273" s="3"/>
      <c r="G273" s="3"/>
      <c r="H273" s="3"/>
      <c r="I273" s="4"/>
      <c r="J273" s="3"/>
      <c r="K273" s="5"/>
      <c r="L273" s="3"/>
      <c r="M273" s="3"/>
      <c r="N273" s="3"/>
      <c r="O273" s="3"/>
    </row>
    <row r="274" spans="1:15">
      <c r="A274" s="3"/>
      <c r="B274" s="3"/>
      <c r="C274" s="3"/>
      <c r="D274" s="3"/>
      <c r="E274" s="3"/>
      <c r="F274" s="3"/>
      <c r="G274" s="3"/>
      <c r="H274" s="3"/>
      <c r="I274" s="4"/>
      <c r="J274" s="3"/>
      <c r="K274" s="5"/>
      <c r="L274" s="3"/>
      <c r="M274" s="3"/>
      <c r="N274" s="3"/>
      <c r="O274" s="3"/>
    </row>
    <row r="275" spans="1:15">
      <c r="A275" s="3"/>
      <c r="B275" s="3"/>
      <c r="C275" s="3"/>
      <c r="D275" s="3"/>
      <c r="E275" s="3"/>
      <c r="F275" s="3"/>
      <c r="G275" s="3"/>
      <c r="H275" s="3"/>
      <c r="I275" s="4"/>
      <c r="J275" s="3"/>
      <c r="K275" s="5"/>
      <c r="L275" s="3"/>
      <c r="M275" s="3"/>
      <c r="N275" s="3"/>
      <c r="O275" s="3"/>
    </row>
    <row r="276" spans="1:15">
      <c r="A276" s="3"/>
      <c r="B276" s="3"/>
      <c r="C276" s="3"/>
      <c r="D276" s="3"/>
      <c r="E276" s="3"/>
      <c r="F276" s="3"/>
      <c r="G276" s="3"/>
      <c r="H276" s="3"/>
      <c r="I276" s="4"/>
      <c r="J276" s="3"/>
      <c r="K276" s="5"/>
      <c r="L276" s="3"/>
      <c r="M276" s="3"/>
      <c r="N276" s="3"/>
      <c r="O276" s="3"/>
    </row>
    <row r="277" spans="1:15">
      <c r="A277" s="3"/>
      <c r="B277" s="3"/>
      <c r="C277" s="3"/>
      <c r="D277" s="3"/>
      <c r="E277" s="3"/>
      <c r="F277" s="3"/>
      <c r="G277" s="3"/>
      <c r="H277" s="3"/>
      <c r="I277" s="4"/>
      <c r="J277" s="3"/>
      <c r="K277" s="5"/>
      <c r="L277" s="3"/>
      <c r="M277" s="3"/>
      <c r="N277" s="3"/>
      <c r="O277" s="3"/>
    </row>
    <row r="278" spans="1:15">
      <c r="A278" s="3"/>
      <c r="B278" s="3"/>
      <c r="C278" s="3"/>
      <c r="D278" s="3"/>
      <c r="E278" s="3"/>
      <c r="F278" s="3"/>
      <c r="G278" s="3"/>
      <c r="H278" s="3"/>
      <c r="I278" s="4"/>
      <c r="J278" s="3"/>
      <c r="K278" s="5"/>
      <c r="L278" s="3"/>
      <c r="M278" s="3"/>
      <c r="N278" s="3"/>
      <c r="O278" s="3"/>
    </row>
    <row r="279" spans="1:15">
      <c r="A279" s="3"/>
      <c r="B279" s="3"/>
      <c r="C279" s="3"/>
      <c r="D279" s="3"/>
      <c r="E279" s="3"/>
      <c r="F279" s="3"/>
      <c r="G279" s="3"/>
      <c r="H279" s="3"/>
      <c r="I279" s="4"/>
      <c r="J279" s="3"/>
      <c r="K279" s="5"/>
      <c r="L279" s="3"/>
      <c r="M279" s="3"/>
      <c r="N279" s="3"/>
      <c r="O279" s="3"/>
    </row>
    <row r="280" spans="1:15">
      <c r="A280" s="3"/>
      <c r="B280" s="3"/>
      <c r="C280" s="3"/>
      <c r="D280" s="3"/>
      <c r="E280" s="3"/>
      <c r="F280" s="3"/>
      <c r="G280" s="3"/>
      <c r="H280" s="3"/>
      <c r="I280" s="4"/>
      <c r="J280" s="3"/>
      <c r="K280" s="5"/>
      <c r="L280" s="3"/>
      <c r="M280" s="3"/>
      <c r="N280" s="3"/>
      <c r="O280" s="3"/>
    </row>
    <row r="281" spans="1:15">
      <c r="A281" s="3"/>
      <c r="B281" s="3"/>
      <c r="C281" s="3"/>
      <c r="D281" s="3"/>
      <c r="E281" s="3"/>
      <c r="F281" s="3"/>
      <c r="G281" s="3"/>
      <c r="H281" s="3"/>
      <c r="I281" s="4"/>
      <c r="J281" s="3"/>
      <c r="K281" s="5"/>
      <c r="L281" s="3"/>
      <c r="M281" s="3"/>
      <c r="N281" s="3"/>
      <c r="O281" s="3"/>
    </row>
    <row r="282" spans="1:15">
      <c r="A282" s="3"/>
      <c r="B282" s="3"/>
      <c r="C282" s="3"/>
      <c r="D282" s="3"/>
      <c r="E282" s="3"/>
      <c r="F282" s="3"/>
      <c r="G282" s="3"/>
      <c r="H282" s="3"/>
      <c r="I282" s="4"/>
      <c r="J282" s="3"/>
      <c r="K282" s="5"/>
      <c r="L282" s="3"/>
      <c r="M282" s="3"/>
      <c r="N282" s="3"/>
      <c r="O282" s="3"/>
    </row>
    <row r="283" spans="1:15">
      <c r="A283" s="3"/>
      <c r="B283" s="3"/>
      <c r="C283" s="3"/>
      <c r="D283" s="3"/>
      <c r="E283" s="3"/>
      <c r="F283" s="3"/>
      <c r="G283" s="3"/>
      <c r="H283" s="3"/>
      <c r="I283" s="4"/>
      <c r="J283" s="3"/>
      <c r="K283" s="5"/>
      <c r="L283" s="3"/>
      <c r="M283" s="3"/>
      <c r="N283" s="3"/>
      <c r="O283" s="3"/>
    </row>
    <row r="284" spans="1:15">
      <c r="A284" s="3"/>
      <c r="B284" s="3"/>
      <c r="C284" s="3"/>
      <c r="D284" s="3"/>
      <c r="E284" s="3"/>
      <c r="F284" s="3"/>
      <c r="G284" s="3"/>
      <c r="H284" s="3"/>
      <c r="I284" s="4"/>
      <c r="J284" s="3"/>
      <c r="K284" s="5"/>
      <c r="L284" s="3"/>
      <c r="M284" s="3"/>
      <c r="N284" s="3"/>
      <c r="O284" s="3"/>
    </row>
    <row r="285" spans="1:15">
      <c r="A285" s="3"/>
      <c r="B285" s="3"/>
      <c r="C285" s="3"/>
      <c r="D285" s="3"/>
      <c r="E285" s="3"/>
      <c r="F285" s="3"/>
      <c r="G285" s="3"/>
      <c r="H285" s="3"/>
      <c r="I285" s="4"/>
      <c r="J285" s="3"/>
      <c r="K285" s="5"/>
      <c r="L285" s="3"/>
      <c r="M285" s="3"/>
      <c r="N285" s="3"/>
      <c r="O285" s="3"/>
    </row>
    <row r="286" spans="1:15">
      <c r="A286" s="3"/>
      <c r="B286" s="3"/>
      <c r="C286" s="3"/>
      <c r="D286" s="3"/>
      <c r="E286" s="3"/>
      <c r="F286" s="3"/>
      <c r="G286" s="3"/>
      <c r="H286" s="3"/>
      <c r="I286" s="4"/>
      <c r="J286" s="3"/>
      <c r="K286" s="5"/>
      <c r="L286" s="3"/>
      <c r="M286" s="3"/>
      <c r="N286" s="3"/>
      <c r="O286" s="3"/>
    </row>
    <row r="287" spans="1:15">
      <c r="A287" s="3"/>
      <c r="B287" s="3"/>
      <c r="C287" s="3"/>
      <c r="D287" s="3"/>
      <c r="E287" s="3"/>
      <c r="F287" s="3"/>
      <c r="G287" s="3"/>
      <c r="H287" s="3"/>
      <c r="I287" s="4"/>
      <c r="J287" s="3"/>
      <c r="K287" s="5"/>
      <c r="L287" s="3"/>
      <c r="M287" s="3"/>
      <c r="N287" s="3"/>
      <c r="O287" s="3"/>
    </row>
    <row r="288" spans="1:15">
      <c r="A288" s="3"/>
      <c r="B288" s="3"/>
      <c r="C288" s="3"/>
      <c r="D288" s="3"/>
      <c r="E288" s="3"/>
      <c r="F288" s="3"/>
      <c r="G288" s="3"/>
      <c r="H288" s="3"/>
      <c r="I288" s="4"/>
      <c r="J288" s="3"/>
      <c r="K288" s="5"/>
      <c r="L288" s="3"/>
      <c r="M288" s="3"/>
      <c r="N288" s="3"/>
      <c r="O288" s="3"/>
    </row>
    <row r="289" spans="1:15">
      <c r="A289" s="3"/>
      <c r="B289" s="3"/>
      <c r="C289" s="3"/>
      <c r="D289" s="3"/>
      <c r="E289" s="3"/>
      <c r="F289" s="3"/>
      <c r="G289" s="3"/>
      <c r="H289" s="3"/>
      <c r="I289" s="4"/>
      <c r="J289" s="3"/>
      <c r="K289" s="5"/>
      <c r="L289" s="3"/>
      <c r="M289" s="3"/>
      <c r="N289" s="3"/>
      <c r="O289" s="3"/>
    </row>
    <row r="290" spans="1:15">
      <c r="A290" s="3"/>
      <c r="B290" s="3"/>
      <c r="C290" s="3"/>
      <c r="D290" s="3"/>
      <c r="E290" s="3"/>
      <c r="F290" s="3"/>
      <c r="G290" s="3"/>
      <c r="H290" s="3"/>
      <c r="I290" s="4"/>
      <c r="J290" s="3"/>
      <c r="K290" s="5"/>
      <c r="L290" s="3"/>
      <c r="M290" s="3"/>
      <c r="N290" s="3"/>
      <c r="O290" s="3"/>
    </row>
    <row r="291" spans="1:15">
      <c r="A291" s="3"/>
      <c r="B291" s="3"/>
      <c r="C291" s="3"/>
      <c r="D291" s="3"/>
      <c r="E291" s="3"/>
      <c r="F291" s="3"/>
      <c r="G291" s="3"/>
      <c r="H291" s="3"/>
      <c r="I291" s="4"/>
      <c r="J291" s="3"/>
      <c r="K291" s="5"/>
      <c r="L291" s="3"/>
      <c r="M291" s="3"/>
      <c r="N291" s="3"/>
      <c r="O291" s="3"/>
    </row>
    <row r="292" spans="1:15">
      <c r="A292" s="3"/>
      <c r="B292" s="3"/>
      <c r="C292" s="3"/>
      <c r="D292" s="3"/>
      <c r="E292" s="3"/>
      <c r="F292" s="3"/>
      <c r="G292" s="3"/>
      <c r="H292" s="3"/>
      <c r="I292" s="4"/>
      <c r="J292" s="3"/>
      <c r="K292" s="5"/>
      <c r="L292" s="3"/>
      <c r="M292" s="3"/>
      <c r="N292" s="3"/>
      <c r="O292" s="3"/>
    </row>
    <row r="293" spans="1:15">
      <c r="A293" s="3"/>
      <c r="B293" s="3"/>
      <c r="C293" s="3"/>
      <c r="D293" s="3"/>
      <c r="E293" s="3"/>
      <c r="F293" s="3"/>
      <c r="G293" s="3"/>
      <c r="H293" s="3"/>
      <c r="I293" s="4"/>
      <c r="J293" s="3"/>
      <c r="K293" s="5"/>
      <c r="L293" s="3"/>
      <c r="M293" s="3"/>
      <c r="N293" s="3"/>
      <c r="O293" s="3"/>
    </row>
    <row r="294" spans="1:15">
      <c r="A294" s="3"/>
      <c r="B294" s="3"/>
      <c r="C294" s="3"/>
      <c r="D294" s="3"/>
      <c r="E294" s="3"/>
      <c r="F294" s="3"/>
      <c r="G294" s="3"/>
      <c r="H294" s="3"/>
      <c r="I294" s="4"/>
      <c r="J294" s="3"/>
      <c r="K294" s="5"/>
      <c r="L294" s="3"/>
      <c r="M294" s="3"/>
      <c r="N294" s="3"/>
      <c r="O294" s="3"/>
    </row>
    <row r="295" spans="1:15">
      <c r="A295" s="3"/>
      <c r="B295" s="3"/>
      <c r="C295" s="3"/>
      <c r="D295" s="3"/>
      <c r="E295" s="3"/>
      <c r="F295" s="3"/>
      <c r="G295" s="3"/>
      <c r="H295" s="3"/>
      <c r="I295" s="4"/>
      <c r="J295" s="3"/>
      <c r="K295" s="5"/>
      <c r="L295" s="3"/>
      <c r="M295" s="3"/>
      <c r="N295" s="3"/>
      <c r="O295" s="3"/>
    </row>
    <row r="296" spans="1:15">
      <c r="A296" s="3"/>
      <c r="B296" s="3"/>
      <c r="C296" s="3"/>
      <c r="D296" s="3"/>
      <c r="E296" s="3"/>
      <c r="F296" s="3"/>
      <c r="G296" s="3"/>
      <c r="H296" s="3"/>
      <c r="I296" s="4"/>
      <c r="J296" s="3"/>
      <c r="K296" s="5"/>
      <c r="L296" s="3"/>
      <c r="M296" s="3"/>
      <c r="N296" s="3"/>
      <c r="O296" s="3"/>
    </row>
    <row r="297" spans="1:15">
      <c r="A297" s="3"/>
      <c r="B297" s="3"/>
      <c r="C297" s="3"/>
      <c r="D297" s="3"/>
      <c r="E297" s="3"/>
      <c r="F297" s="3"/>
      <c r="G297" s="3"/>
      <c r="H297" s="3"/>
      <c r="I297" s="4"/>
      <c r="J297" s="3"/>
      <c r="K297" s="5"/>
      <c r="L297" s="3"/>
      <c r="M297" s="3"/>
      <c r="N297" s="3"/>
      <c r="O297" s="3"/>
    </row>
    <row r="298" spans="1:15">
      <c r="A298" s="3"/>
      <c r="B298" s="3"/>
      <c r="C298" s="3"/>
      <c r="D298" s="3"/>
      <c r="E298" s="3"/>
      <c r="F298" s="3"/>
      <c r="G298" s="3"/>
      <c r="H298" s="3"/>
      <c r="I298" s="4"/>
      <c r="J298" s="3"/>
      <c r="K298" s="5"/>
      <c r="L298" s="3"/>
      <c r="M298" s="3"/>
      <c r="N298" s="3"/>
      <c r="O298" s="3"/>
    </row>
    <row r="299" spans="1:15">
      <c r="A299" s="3"/>
      <c r="B299" s="3"/>
      <c r="C299" s="3"/>
      <c r="D299" s="3"/>
      <c r="E299" s="3"/>
      <c r="F299" s="3"/>
      <c r="G299" s="3"/>
      <c r="H299" s="3"/>
      <c r="I299" s="4"/>
      <c r="J299" s="3"/>
      <c r="K299" s="5"/>
      <c r="L299" s="3"/>
      <c r="M299" s="3"/>
      <c r="N299" s="3"/>
      <c r="O299" s="3"/>
    </row>
    <row r="300" spans="1:15">
      <c r="A300" s="3"/>
      <c r="B300" s="3"/>
      <c r="C300" s="3"/>
      <c r="D300" s="3"/>
      <c r="E300" s="3"/>
      <c r="F300" s="3"/>
      <c r="G300" s="3"/>
      <c r="H300" s="3"/>
      <c r="I300" s="4"/>
      <c r="J300" s="3"/>
      <c r="K300" s="5"/>
      <c r="L300" s="3"/>
      <c r="M300" s="3"/>
      <c r="N300" s="3"/>
      <c r="O300" s="3"/>
    </row>
    <row r="301" spans="1:15">
      <c r="A301" s="3"/>
      <c r="B301" s="3"/>
      <c r="C301" s="3"/>
      <c r="D301" s="3"/>
      <c r="E301" s="3"/>
      <c r="F301" s="3"/>
      <c r="G301" s="3"/>
      <c r="H301" s="3"/>
      <c r="I301" s="4"/>
      <c r="J301" s="3"/>
      <c r="K301" s="5"/>
      <c r="L301" s="3"/>
      <c r="M301" s="3"/>
      <c r="N301" s="3"/>
      <c r="O301" s="3"/>
    </row>
    <row r="302" spans="1:15">
      <c r="A302" s="3"/>
      <c r="B302" s="3"/>
      <c r="C302" s="3"/>
      <c r="D302" s="3"/>
      <c r="E302" s="3"/>
      <c r="F302" s="3"/>
      <c r="G302" s="3"/>
      <c r="H302" s="3"/>
      <c r="I302" s="4"/>
      <c r="J302" s="3"/>
      <c r="K302" s="5"/>
      <c r="L302" s="3"/>
      <c r="M302" s="3"/>
      <c r="N302" s="3"/>
      <c r="O302" s="3"/>
    </row>
    <row r="303" spans="1:15">
      <c r="A303" s="3"/>
      <c r="B303" s="3"/>
      <c r="C303" s="3"/>
      <c r="D303" s="3"/>
      <c r="E303" s="3"/>
      <c r="F303" s="3"/>
      <c r="G303" s="3"/>
      <c r="H303" s="3"/>
      <c r="I303" s="4"/>
      <c r="J303" s="3"/>
      <c r="K303" s="5"/>
      <c r="L303" s="3"/>
      <c r="M303" s="3"/>
      <c r="N303" s="3"/>
      <c r="O303" s="3"/>
    </row>
    <row r="304" spans="1:15">
      <c r="A304" s="3"/>
      <c r="B304" s="3"/>
      <c r="C304" s="3"/>
      <c r="D304" s="3"/>
      <c r="E304" s="3"/>
      <c r="F304" s="3"/>
      <c r="G304" s="3"/>
      <c r="H304" s="3"/>
      <c r="I304" s="4"/>
      <c r="J304" s="3"/>
      <c r="K304" s="5"/>
      <c r="L304" s="3"/>
      <c r="M304" s="3"/>
      <c r="N304" s="3"/>
      <c r="O304" s="3"/>
    </row>
    <row r="305" spans="1:15">
      <c r="A305" s="3"/>
      <c r="B305" s="3"/>
      <c r="C305" s="3"/>
      <c r="D305" s="3"/>
      <c r="E305" s="3"/>
      <c r="F305" s="3"/>
      <c r="G305" s="3"/>
      <c r="H305" s="3"/>
      <c r="I305" s="4"/>
      <c r="J305" s="3"/>
      <c r="K305" s="5"/>
      <c r="L305" s="3"/>
      <c r="M305" s="3"/>
      <c r="N305" s="3"/>
      <c r="O305" s="3"/>
    </row>
    <row r="306" spans="1:15">
      <c r="A306" s="3"/>
      <c r="B306" s="3"/>
      <c r="C306" s="3"/>
      <c r="D306" s="3"/>
      <c r="E306" s="3"/>
      <c r="F306" s="3"/>
      <c r="G306" s="3"/>
      <c r="H306" s="3"/>
      <c r="I306" s="4"/>
      <c r="J306" s="3"/>
      <c r="K306" s="5"/>
      <c r="L306" s="3"/>
      <c r="M306" s="3"/>
      <c r="N306" s="3"/>
      <c r="O306" s="3"/>
    </row>
    <row r="307" spans="1:15">
      <c r="A307" s="3"/>
      <c r="B307" s="3"/>
      <c r="C307" s="3"/>
      <c r="D307" s="3"/>
      <c r="E307" s="3"/>
      <c r="F307" s="3"/>
      <c r="G307" s="3"/>
      <c r="H307" s="3"/>
      <c r="I307" s="4"/>
      <c r="J307" s="3"/>
      <c r="K307" s="5"/>
      <c r="L307" s="3"/>
      <c r="M307" s="3"/>
      <c r="N307" s="3"/>
      <c r="O307" s="3"/>
    </row>
    <row r="308" spans="1:15">
      <c r="A308" s="3"/>
      <c r="B308" s="3"/>
      <c r="C308" s="3"/>
      <c r="D308" s="3"/>
      <c r="E308" s="3"/>
      <c r="F308" s="3"/>
      <c r="G308" s="3"/>
      <c r="H308" s="3"/>
      <c r="I308" s="4"/>
      <c r="J308" s="3"/>
      <c r="K308" s="5"/>
      <c r="L308" s="3"/>
      <c r="M308" s="3"/>
      <c r="N308" s="3"/>
      <c r="O308" s="3"/>
    </row>
    <row r="309" spans="1:15">
      <c r="A309" s="3"/>
      <c r="B309" s="3"/>
      <c r="C309" s="3"/>
      <c r="D309" s="3"/>
      <c r="E309" s="3"/>
      <c r="F309" s="3"/>
      <c r="G309" s="3"/>
      <c r="H309" s="3"/>
      <c r="I309" s="4"/>
      <c r="J309" s="3"/>
      <c r="K309" s="5"/>
      <c r="L309" s="3"/>
      <c r="M309" s="3"/>
      <c r="N309" s="3"/>
      <c r="O309" s="3"/>
    </row>
    <row r="310" spans="1:15">
      <c r="A310" s="3"/>
      <c r="B310" s="3"/>
      <c r="C310" s="3"/>
      <c r="D310" s="3"/>
      <c r="E310" s="3"/>
      <c r="F310" s="3"/>
      <c r="G310" s="3"/>
      <c r="H310" s="3"/>
      <c r="I310" s="4"/>
      <c r="J310" s="3"/>
      <c r="K310" s="5"/>
      <c r="L310" s="3"/>
      <c r="M310" s="3"/>
      <c r="N310" s="3"/>
      <c r="O310" s="3"/>
    </row>
    <row r="311" spans="1:15">
      <c r="A311" s="3"/>
      <c r="B311" s="3"/>
      <c r="C311" s="3"/>
      <c r="D311" s="3"/>
      <c r="E311" s="3"/>
      <c r="F311" s="3"/>
      <c r="G311" s="3"/>
      <c r="H311" s="3"/>
      <c r="I311" s="4"/>
      <c r="J311" s="3"/>
      <c r="K311" s="5"/>
      <c r="L311" s="3"/>
      <c r="M311" s="3"/>
      <c r="N311" s="3"/>
      <c r="O311" s="3"/>
    </row>
    <row r="312" spans="1:15">
      <c r="A312" s="3"/>
      <c r="B312" s="3"/>
      <c r="C312" s="3"/>
      <c r="D312" s="3"/>
      <c r="E312" s="3"/>
      <c r="F312" s="3"/>
      <c r="G312" s="3"/>
      <c r="H312" s="3"/>
      <c r="I312" s="4"/>
      <c r="J312" s="3"/>
      <c r="K312" s="5"/>
      <c r="L312" s="3"/>
      <c r="M312" s="3"/>
      <c r="N312" s="3"/>
      <c r="O312" s="3"/>
    </row>
    <row r="313" spans="1:15">
      <c r="A313" s="3"/>
      <c r="B313" s="3"/>
      <c r="C313" s="3"/>
      <c r="D313" s="3"/>
      <c r="E313" s="3"/>
      <c r="F313" s="3"/>
      <c r="G313" s="3"/>
      <c r="H313" s="3"/>
      <c r="I313" s="4"/>
      <c r="J313" s="3"/>
      <c r="K313" s="5"/>
      <c r="L313" s="3"/>
      <c r="M313" s="3"/>
      <c r="N313" s="3"/>
      <c r="O313" s="3"/>
    </row>
    <row r="314" spans="1:15">
      <c r="A314" s="3"/>
      <c r="B314" s="3"/>
      <c r="C314" s="3"/>
      <c r="D314" s="3"/>
      <c r="E314" s="3"/>
      <c r="F314" s="3"/>
      <c r="G314" s="3"/>
      <c r="H314" s="3"/>
      <c r="I314" s="4"/>
      <c r="J314" s="3"/>
      <c r="K314" s="5"/>
      <c r="L314" s="3"/>
      <c r="M314" s="3"/>
      <c r="N314" s="3"/>
      <c r="O314" s="3"/>
    </row>
    <row r="315" spans="1:15">
      <c r="A315" s="3"/>
      <c r="B315" s="3"/>
      <c r="C315" s="3"/>
      <c r="D315" s="3"/>
      <c r="E315" s="3"/>
      <c r="F315" s="3"/>
      <c r="G315" s="3"/>
      <c r="H315" s="3"/>
      <c r="I315" s="4"/>
      <c r="J315" s="3"/>
      <c r="K315" s="5"/>
      <c r="L315" s="3"/>
      <c r="M315" s="3"/>
      <c r="N315" s="3"/>
      <c r="O315" s="3"/>
    </row>
    <row r="316" spans="1:15">
      <c r="A316" s="3"/>
      <c r="B316" s="3"/>
      <c r="C316" s="3"/>
      <c r="D316" s="3"/>
      <c r="E316" s="3"/>
      <c r="F316" s="3"/>
      <c r="G316" s="3"/>
      <c r="H316" s="3"/>
      <c r="I316" s="4"/>
      <c r="J316" s="3"/>
      <c r="K316" s="5"/>
      <c r="L316" s="3"/>
      <c r="M316" s="3"/>
      <c r="N316" s="3"/>
      <c r="O316" s="3"/>
    </row>
    <row r="317" spans="1:15">
      <c r="A317" s="3"/>
      <c r="B317" s="3"/>
      <c r="C317" s="3"/>
      <c r="D317" s="3"/>
      <c r="E317" s="3"/>
      <c r="F317" s="3"/>
      <c r="G317" s="3"/>
      <c r="H317" s="3"/>
      <c r="I317" s="4"/>
      <c r="J317" s="3"/>
      <c r="K317" s="5"/>
      <c r="L317" s="3"/>
      <c r="M317" s="3"/>
      <c r="N317" s="3"/>
      <c r="O317" s="3"/>
    </row>
    <row r="318" spans="1:15">
      <c r="A318" s="3"/>
      <c r="B318" s="3"/>
      <c r="C318" s="3"/>
      <c r="D318" s="3"/>
      <c r="E318" s="3"/>
      <c r="F318" s="3"/>
      <c r="G318" s="3"/>
      <c r="H318" s="3"/>
      <c r="I318" s="4"/>
      <c r="J318" s="3"/>
      <c r="K318" s="5"/>
      <c r="L318" s="3"/>
      <c r="M318" s="3"/>
      <c r="N318" s="3"/>
      <c r="O318" s="3"/>
    </row>
    <row r="319" spans="1:15">
      <c r="A319" s="3"/>
      <c r="B319" s="3"/>
      <c r="C319" s="3"/>
      <c r="D319" s="3"/>
      <c r="E319" s="3"/>
      <c r="F319" s="3"/>
      <c r="G319" s="3"/>
      <c r="H319" s="3"/>
      <c r="I319" s="4"/>
      <c r="J319" s="3"/>
      <c r="K319" s="5"/>
      <c r="L319" s="3"/>
      <c r="M319" s="3"/>
      <c r="N319" s="3"/>
      <c r="O319" s="3"/>
    </row>
    <row r="320" spans="1:15">
      <c r="A320" s="3"/>
      <c r="B320" s="3"/>
      <c r="C320" s="3"/>
      <c r="D320" s="3"/>
      <c r="E320" s="3"/>
      <c r="F320" s="3"/>
      <c r="G320" s="3"/>
      <c r="H320" s="3"/>
      <c r="I320" s="4"/>
      <c r="J320" s="3"/>
      <c r="K320" s="5"/>
      <c r="L320" s="3"/>
      <c r="M320" s="3"/>
      <c r="N320" s="3"/>
      <c r="O320" s="3"/>
    </row>
    <row r="321" spans="1:15">
      <c r="A321" s="3"/>
      <c r="B321" s="3"/>
      <c r="C321" s="3"/>
      <c r="D321" s="3"/>
      <c r="E321" s="3"/>
      <c r="F321" s="3"/>
      <c r="G321" s="3"/>
      <c r="H321" s="3"/>
      <c r="I321" s="4"/>
      <c r="J321" s="3"/>
      <c r="K321" s="5"/>
      <c r="L321" s="3"/>
      <c r="M321" s="3"/>
      <c r="N321" s="3"/>
      <c r="O321" s="3"/>
    </row>
    <row r="322" spans="1:15">
      <c r="A322" s="3"/>
      <c r="B322" s="3"/>
      <c r="C322" s="3"/>
      <c r="D322" s="3"/>
      <c r="E322" s="3"/>
      <c r="F322" s="3"/>
      <c r="G322" s="3"/>
      <c r="H322" s="3"/>
      <c r="I322" s="4"/>
      <c r="J322" s="3"/>
      <c r="K322" s="5"/>
      <c r="L322" s="3"/>
      <c r="M322" s="3"/>
      <c r="N322" s="3"/>
      <c r="O322" s="3"/>
    </row>
    <row r="323" spans="1:15">
      <c r="A323" s="3"/>
      <c r="B323" s="3"/>
      <c r="C323" s="3"/>
      <c r="D323" s="3"/>
      <c r="E323" s="3"/>
      <c r="F323" s="3"/>
      <c r="G323" s="3"/>
      <c r="H323" s="3"/>
      <c r="I323" s="4"/>
      <c r="J323" s="3"/>
      <c r="K323" s="5"/>
      <c r="L323" s="3"/>
      <c r="M323" s="3"/>
      <c r="N323" s="3"/>
      <c r="O323" s="3"/>
    </row>
    <row r="324" spans="1:15">
      <c r="A324" s="3"/>
      <c r="B324" s="3"/>
      <c r="C324" s="3"/>
      <c r="D324" s="3"/>
      <c r="E324" s="3"/>
      <c r="F324" s="3"/>
      <c r="G324" s="3"/>
      <c r="H324" s="3"/>
      <c r="I324" s="4"/>
      <c r="J324" s="3"/>
      <c r="K324" s="5"/>
      <c r="L324" s="3"/>
      <c r="M324" s="3"/>
      <c r="N324" s="3"/>
      <c r="O324" s="3"/>
    </row>
    <row r="325" spans="1:15">
      <c r="A325" s="3"/>
      <c r="B325" s="3"/>
      <c r="C325" s="3"/>
      <c r="D325" s="3"/>
      <c r="E325" s="3"/>
      <c r="F325" s="3"/>
      <c r="G325" s="3"/>
      <c r="H325" s="3"/>
      <c r="I325" s="4"/>
      <c r="J325" s="3"/>
      <c r="K325" s="5"/>
      <c r="L325" s="3"/>
      <c r="M325" s="3"/>
      <c r="N325" s="3"/>
      <c r="O325" s="3"/>
    </row>
    <row r="326" spans="1:15">
      <c r="A326" s="3"/>
      <c r="B326" s="3"/>
      <c r="C326" s="3"/>
      <c r="D326" s="3"/>
      <c r="E326" s="3"/>
      <c r="F326" s="3"/>
      <c r="G326" s="3"/>
      <c r="H326" s="3"/>
      <c r="I326" s="4"/>
      <c r="J326" s="3"/>
      <c r="K326" s="5"/>
      <c r="L326" s="3"/>
      <c r="M326" s="3"/>
      <c r="N326" s="3"/>
      <c r="O326" s="3"/>
    </row>
    <row r="327" spans="1:15">
      <c r="A327" s="3"/>
      <c r="B327" s="3"/>
      <c r="C327" s="3"/>
      <c r="D327" s="3"/>
      <c r="E327" s="3"/>
      <c r="F327" s="3"/>
      <c r="G327" s="3"/>
      <c r="H327" s="3"/>
      <c r="I327" s="4"/>
      <c r="J327" s="3"/>
      <c r="K327" s="5"/>
      <c r="L327" s="3"/>
      <c r="M327" s="3"/>
      <c r="N327" s="3"/>
      <c r="O327" s="3"/>
    </row>
    <row r="328" spans="1:15">
      <c r="A328" s="3"/>
      <c r="B328" s="3"/>
      <c r="C328" s="3"/>
      <c r="D328" s="3"/>
      <c r="E328" s="3"/>
      <c r="F328" s="3"/>
      <c r="G328" s="3"/>
      <c r="H328" s="3"/>
      <c r="I328" s="4"/>
      <c r="J328" s="3"/>
      <c r="K328" s="5"/>
      <c r="L328" s="3"/>
      <c r="M328" s="3"/>
      <c r="N328" s="3"/>
      <c r="O328" s="3"/>
    </row>
    <row r="329" spans="1:15">
      <c r="A329" s="3"/>
      <c r="B329" s="3"/>
      <c r="C329" s="3"/>
      <c r="D329" s="3"/>
      <c r="E329" s="3"/>
      <c r="F329" s="3"/>
      <c r="G329" s="3"/>
      <c r="H329" s="3"/>
      <c r="I329" s="4"/>
      <c r="J329" s="3"/>
      <c r="K329" s="5"/>
      <c r="L329" s="3"/>
      <c r="M329" s="3"/>
      <c r="N329" s="3"/>
      <c r="O329" s="3"/>
    </row>
    <row r="330" spans="1:15">
      <c r="A330" s="3"/>
      <c r="B330" s="3"/>
      <c r="C330" s="3"/>
      <c r="D330" s="3"/>
      <c r="E330" s="3"/>
      <c r="F330" s="3"/>
      <c r="G330" s="3"/>
      <c r="H330" s="3"/>
      <c r="I330" s="4"/>
      <c r="J330" s="3"/>
      <c r="K330" s="5"/>
      <c r="L330" s="3"/>
      <c r="M330" s="3"/>
      <c r="N330" s="3"/>
      <c r="O330" s="3"/>
    </row>
    <row r="331" spans="1:15">
      <c r="A331" s="3"/>
      <c r="B331" s="3"/>
      <c r="C331" s="3"/>
      <c r="D331" s="3"/>
      <c r="E331" s="3"/>
      <c r="F331" s="3"/>
      <c r="G331" s="3"/>
      <c r="H331" s="3"/>
      <c r="I331" s="4"/>
      <c r="J331" s="3"/>
      <c r="K331" s="5"/>
      <c r="L331" s="3"/>
      <c r="M331" s="3"/>
      <c r="N331" s="3"/>
      <c r="O331" s="3"/>
    </row>
    <row r="332" spans="1:15">
      <c r="A332" s="3"/>
      <c r="B332" s="3"/>
      <c r="C332" s="3"/>
      <c r="D332" s="3"/>
      <c r="E332" s="3"/>
      <c r="F332" s="3"/>
      <c r="G332" s="3"/>
      <c r="H332" s="3"/>
      <c r="I332" s="4"/>
      <c r="J332" s="3"/>
      <c r="K332" s="5"/>
      <c r="L332" s="3"/>
      <c r="M332" s="3"/>
      <c r="N332" s="3"/>
      <c r="O332" s="3"/>
    </row>
    <row r="333" spans="1:15">
      <c r="A333" s="3"/>
      <c r="B333" s="3"/>
      <c r="C333" s="3"/>
      <c r="D333" s="3"/>
      <c r="E333" s="3"/>
      <c r="F333" s="3"/>
      <c r="G333" s="3"/>
      <c r="H333" s="3"/>
      <c r="I333" s="4"/>
      <c r="J333" s="3"/>
      <c r="K333" s="5"/>
      <c r="L333" s="3"/>
      <c r="M333" s="3"/>
      <c r="N333" s="3"/>
      <c r="O333" s="3"/>
    </row>
    <row r="334" spans="1:15">
      <c r="A334" s="3"/>
      <c r="B334" s="3"/>
      <c r="C334" s="3"/>
      <c r="D334" s="3"/>
      <c r="E334" s="3"/>
      <c r="F334" s="3"/>
      <c r="G334" s="3"/>
      <c r="H334" s="3"/>
      <c r="I334" s="4"/>
      <c r="J334" s="3"/>
      <c r="K334" s="5"/>
      <c r="L334" s="3"/>
      <c r="M334" s="3"/>
      <c r="N334" s="3"/>
      <c r="O334" s="3"/>
    </row>
    <row r="335" spans="1:15">
      <c r="A335" s="3"/>
      <c r="B335" s="3"/>
      <c r="C335" s="3"/>
      <c r="D335" s="3"/>
      <c r="E335" s="3"/>
      <c r="F335" s="3"/>
      <c r="G335" s="3"/>
      <c r="H335" s="3"/>
      <c r="I335" s="4"/>
      <c r="J335" s="3"/>
      <c r="K335" s="5"/>
      <c r="L335" s="3"/>
      <c r="M335" s="3"/>
      <c r="N335" s="3"/>
      <c r="O335" s="3"/>
    </row>
    <row r="336" spans="1:15">
      <c r="A336" s="3"/>
      <c r="B336" s="3"/>
      <c r="C336" s="3"/>
      <c r="D336" s="3"/>
      <c r="E336" s="3"/>
      <c r="F336" s="3"/>
      <c r="G336" s="3"/>
      <c r="H336" s="3"/>
      <c r="I336" s="4"/>
      <c r="J336" s="3"/>
      <c r="K336" s="5"/>
      <c r="L336" s="3"/>
      <c r="M336" s="3"/>
      <c r="N336" s="3"/>
      <c r="O336" s="3"/>
    </row>
    <row r="337" spans="1:15">
      <c r="A337" s="3"/>
      <c r="B337" s="3"/>
      <c r="C337" s="3"/>
      <c r="D337" s="3"/>
      <c r="E337" s="3"/>
      <c r="F337" s="3"/>
      <c r="G337" s="3"/>
      <c r="H337" s="3"/>
      <c r="I337" s="4"/>
      <c r="J337" s="3"/>
      <c r="K337" s="5"/>
      <c r="L337" s="3"/>
      <c r="M337" s="3"/>
      <c r="N337" s="3"/>
      <c r="O337" s="3"/>
    </row>
    <row r="338" spans="1:15">
      <c r="A338" s="3"/>
      <c r="B338" s="3"/>
      <c r="C338" s="3"/>
      <c r="D338" s="3"/>
      <c r="E338" s="3"/>
      <c r="F338" s="3"/>
      <c r="G338" s="3"/>
      <c r="H338" s="3"/>
      <c r="I338" s="4"/>
      <c r="J338" s="3"/>
      <c r="K338" s="5"/>
      <c r="L338" s="3"/>
      <c r="M338" s="3"/>
      <c r="N338" s="3"/>
      <c r="O338" s="3"/>
    </row>
    <row r="339" spans="1:15">
      <c r="A339" s="3"/>
      <c r="B339" s="3"/>
      <c r="C339" s="3"/>
      <c r="D339" s="3"/>
      <c r="E339" s="3"/>
      <c r="F339" s="3"/>
      <c r="G339" s="3"/>
      <c r="H339" s="3"/>
      <c r="I339" s="4"/>
      <c r="J339" s="3"/>
      <c r="K339" s="5"/>
      <c r="L339" s="3"/>
      <c r="M339" s="3"/>
      <c r="N339" s="3"/>
      <c r="O339" s="3"/>
    </row>
    <row r="340" spans="1:15">
      <c r="A340" s="3"/>
      <c r="B340" s="3"/>
      <c r="C340" s="3"/>
      <c r="D340" s="3"/>
      <c r="E340" s="3"/>
      <c r="F340" s="3"/>
      <c r="G340" s="3"/>
      <c r="H340" s="3"/>
      <c r="I340" s="4"/>
      <c r="J340" s="3"/>
      <c r="K340" s="5"/>
      <c r="L340" s="3"/>
      <c r="M340" s="3"/>
      <c r="N340" s="3"/>
      <c r="O340" s="3"/>
    </row>
    <row r="341" spans="1:15">
      <c r="A341" s="3"/>
      <c r="B341" s="3"/>
      <c r="C341" s="3"/>
      <c r="D341" s="3"/>
      <c r="E341" s="3"/>
      <c r="F341" s="3"/>
      <c r="G341" s="3"/>
      <c r="H341" s="3"/>
      <c r="I341" s="4"/>
      <c r="J341" s="3"/>
      <c r="K341" s="5"/>
      <c r="L341" s="3"/>
      <c r="M341" s="3"/>
      <c r="N341" s="3"/>
      <c r="O341" s="3"/>
    </row>
    <row r="342" spans="1:15">
      <c r="A342" s="3"/>
      <c r="B342" s="3"/>
      <c r="C342" s="3"/>
      <c r="D342" s="3"/>
      <c r="E342" s="3"/>
      <c r="F342" s="3"/>
      <c r="G342" s="3"/>
      <c r="H342" s="3"/>
      <c r="I342" s="4"/>
      <c r="J342" s="3"/>
      <c r="K342" s="5"/>
      <c r="L342" s="3"/>
      <c r="M342" s="3"/>
      <c r="N342" s="3"/>
      <c r="O342" s="3"/>
    </row>
    <row r="343" spans="1:15">
      <c r="A343" s="3"/>
      <c r="B343" s="3"/>
      <c r="C343" s="3"/>
      <c r="D343" s="3"/>
      <c r="E343" s="3"/>
      <c r="F343" s="3"/>
      <c r="G343" s="3"/>
      <c r="H343" s="3"/>
      <c r="I343" s="4"/>
      <c r="J343" s="3"/>
      <c r="K343" s="5"/>
      <c r="L343" s="3"/>
      <c r="M343" s="3"/>
      <c r="N343" s="3"/>
      <c r="O343" s="3"/>
    </row>
  </sheetData>
  <sortState xmlns:xlrd2="http://schemas.microsoft.com/office/spreadsheetml/2017/richdata2" ref="A2:O344">
    <sortCondition ref="F2:F344"/>
  </sortState>
  <pageMargins left="0.25" right="0.25" top="0.75" bottom="0.75" header="0.25" footer="0.2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48"/>
  <sheetViews>
    <sheetView workbookViewId="0"/>
  </sheetViews>
  <sheetFormatPr defaultColWidth="9.140625" defaultRowHeight="15"/>
  <cols>
    <col min="1" max="1" width="66.42578125" customWidth="1"/>
    <col min="2" max="2" width="52" customWidth="1"/>
    <col min="3" max="3" width="1" customWidth="1"/>
    <col min="4" max="4" width="21" customWidth="1"/>
  </cols>
  <sheetData>
    <row r="1" spans="1:4" ht="40.9" customHeight="1">
      <c r="A1" s="14" t="s">
        <v>93</v>
      </c>
      <c r="B1" s="14"/>
      <c r="C1" s="15" t="s">
        <v>94</v>
      </c>
      <c r="D1" s="15"/>
    </row>
    <row r="2" spans="1:4" ht="18">
      <c r="A2" s="16" t="s">
        <v>95</v>
      </c>
      <c r="B2" s="16"/>
      <c r="C2" s="16"/>
      <c r="D2" s="16"/>
    </row>
    <row r="3" spans="1:4">
      <c r="A3" s="17"/>
      <c r="B3" s="17"/>
      <c r="C3" s="17"/>
      <c r="D3" s="17"/>
    </row>
    <row r="4" spans="1:4" ht="18">
      <c r="A4" s="10" t="s">
        <v>96</v>
      </c>
      <c r="B4" s="10"/>
      <c r="C4" s="10"/>
      <c r="D4" s="10"/>
    </row>
    <row r="5" spans="1:4">
      <c r="A5" s="9"/>
      <c r="B5" s="9"/>
      <c r="C5" s="9"/>
      <c r="D5" s="9"/>
    </row>
    <row r="6" spans="1:4">
      <c r="A6" s="12" t="s">
        <v>97</v>
      </c>
      <c r="B6" s="12"/>
      <c r="C6" s="12"/>
      <c r="D6" s="12"/>
    </row>
    <row r="7" spans="1:4">
      <c r="A7" s="13" t="s">
        <v>98</v>
      </c>
      <c r="B7" s="13"/>
      <c r="C7" s="13"/>
      <c r="D7" s="13"/>
    </row>
    <row r="8" spans="1:4">
      <c r="A8" s="9"/>
      <c r="B8" s="9"/>
      <c r="C8" s="9"/>
      <c r="D8" s="9"/>
    </row>
    <row r="9" spans="1:4">
      <c r="A9" s="12" t="s">
        <v>99</v>
      </c>
      <c r="B9" s="12"/>
      <c r="C9" s="12"/>
      <c r="D9" s="12"/>
    </row>
    <row r="10" spans="1:4">
      <c r="A10" s="13" t="s">
        <v>100</v>
      </c>
      <c r="B10" s="13"/>
      <c r="C10" s="13"/>
      <c r="D10" s="13"/>
    </row>
    <row r="11" spans="1:4">
      <c r="A11" s="9"/>
      <c r="B11" s="9"/>
      <c r="C11" s="9"/>
      <c r="D11" s="9"/>
    </row>
    <row r="12" spans="1:4">
      <c r="A12" s="12" t="s">
        <v>101</v>
      </c>
      <c r="B12" s="12"/>
      <c r="C12" s="12"/>
      <c r="D12" s="12"/>
    </row>
    <row r="13" spans="1:4">
      <c r="A13" s="13" t="s">
        <v>102</v>
      </c>
      <c r="B13" s="13"/>
      <c r="C13" s="13"/>
      <c r="D13" s="13"/>
    </row>
    <row r="14" spans="1:4">
      <c r="A14" s="9"/>
      <c r="B14" s="9"/>
      <c r="C14" s="9"/>
      <c r="D14" s="9"/>
    </row>
    <row r="15" spans="1:4">
      <c r="A15" s="12" t="s">
        <v>103</v>
      </c>
      <c r="B15" s="12"/>
      <c r="C15" s="12"/>
      <c r="D15" s="12"/>
    </row>
    <row r="16" spans="1:4">
      <c r="A16" s="13" t="s">
        <v>104</v>
      </c>
      <c r="B16" s="13"/>
      <c r="C16" s="13"/>
      <c r="D16" s="13"/>
    </row>
    <row r="17" spans="1:4">
      <c r="A17" s="9"/>
      <c r="B17" s="9"/>
      <c r="C17" s="9"/>
      <c r="D17" s="9"/>
    </row>
    <row r="18" spans="1:4">
      <c r="A18" s="12" t="s">
        <v>105</v>
      </c>
      <c r="B18" s="12"/>
      <c r="C18" s="12"/>
      <c r="D18" s="12"/>
    </row>
    <row r="19" spans="1:4">
      <c r="A19" s="13" t="s">
        <v>106</v>
      </c>
      <c r="B19" s="13"/>
      <c r="C19" s="13"/>
      <c r="D19" s="13"/>
    </row>
    <row r="20" spans="1:4">
      <c r="A20" s="9"/>
      <c r="B20" s="9"/>
      <c r="C20" s="9"/>
      <c r="D20" s="9"/>
    </row>
    <row r="21" spans="1:4">
      <c r="A21" s="12" t="s">
        <v>107</v>
      </c>
      <c r="B21" s="12"/>
      <c r="C21" s="12"/>
      <c r="D21" s="12"/>
    </row>
    <row r="22" spans="1:4">
      <c r="A22" s="13" t="s">
        <v>108</v>
      </c>
      <c r="B22" s="13"/>
      <c r="C22" s="13"/>
      <c r="D22" s="13"/>
    </row>
    <row r="23" spans="1:4">
      <c r="A23" s="9"/>
      <c r="B23" s="9"/>
      <c r="C23" s="9"/>
      <c r="D23" s="9"/>
    </row>
    <row r="24" spans="1:4">
      <c r="A24" s="12" t="s">
        <v>109</v>
      </c>
      <c r="B24" s="12"/>
      <c r="C24" s="12"/>
      <c r="D24" s="12"/>
    </row>
    <row r="25" spans="1:4">
      <c r="A25" s="13" t="s">
        <v>110</v>
      </c>
      <c r="B25" s="13"/>
      <c r="C25" s="13"/>
      <c r="D25" s="13"/>
    </row>
    <row r="26" spans="1:4">
      <c r="A26" s="9"/>
      <c r="B26" s="9"/>
      <c r="C26" s="9"/>
      <c r="D26" s="9"/>
    </row>
    <row r="27" spans="1:4">
      <c r="A27" s="12" t="s">
        <v>111</v>
      </c>
      <c r="B27" s="12"/>
      <c r="C27" s="12"/>
      <c r="D27" s="12"/>
    </row>
    <row r="28" spans="1:4">
      <c r="A28" s="13" t="s">
        <v>112</v>
      </c>
      <c r="B28" s="13"/>
      <c r="C28" s="13"/>
      <c r="D28" s="13"/>
    </row>
    <row r="29" spans="1:4">
      <c r="A29" s="9"/>
      <c r="B29" s="9"/>
      <c r="C29" s="9"/>
      <c r="D29" s="9"/>
    </row>
    <row r="30" spans="1:4">
      <c r="A30" s="12" t="s">
        <v>113</v>
      </c>
      <c r="B30" s="12"/>
      <c r="C30" s="12"/>
      <c r="D30" s="12"/>
    </row>
    <row r="31" spans="1:4">
      <c r="A31" s="13" t="s">
        <v>114</v>
      </c>
      <c r="B31" s="13"/>
      <c r="C31" s="13"/>
      <c r="D31" s="13"/>
    </row>
    <row r="32" spans="1:4">
      <c r="A32" s="9"/>
      <c r="B32" s="9"/>
      <c r="C32" s="9"/>
      <c r="D32" s="9"/>
    </row>
    <row r="33" spans="1:4">
      <c r="A33" s="12" t="s">
        <v>115</v>
      </c>
      <c r="B33" s="12"/>
      <c r="C33" s="12"/>
      <c r="D33" s="12"/>
    </row>
    <row r="34" spans="1:4">
      <c r="A34" s="12" t="s">
        <v>116</v>
      </c>
      <c r="B34" s="12"/>
      <c r="C34" s="12"/>
      <c r="D34" s="12"/>
    </row>
    <row r="35" spans="1:4" ht="18">
      <c r="A35" s="10" t="s">
        <v>117</v>
      </c>
      <c r="B35" s="10"/>
      <c r="C35" s="10"/>
      <c r="D35" s="10"/>
    </row>
    <row r="36" spans="1:4">
      <c r="A36" s="12" t="s">
        <v>118</v>
      </c>
      <c r="B36" s="12"/>
      <c r="C36" s="12"/>
      <c r="D36" s="12"/>
    </row>
    <row r="37" spans="1:4">
      <c r="A37" s="9"/>
      <c r="B37" s="9"/>
      <c r="C37" s="9"/>
      <c r="D37" s="9"/>
    </row>
    <row r="38" spans="1:4" ht="18">
      <c r="A38" s="10" t="s">
        <v>119</v>
      </c>
      <c r="B38" s="10"/>
      <c r="C38" s="10"/>
      <c r="D38" s="10"/>
    </row>
    <row r="39" spans="1:4">
      <c r="A39" s="12" t="s">
        <v>120</v>
      </c>
      <c r="B39" s="12"/>
      <c r="C39" s="12"/>
      <c r="D39" s="12"/>
    </row>
    <row r="40" spans="1:4">
      <c r="A40" s="9"/>
      <c r="B40" s="9"/>
      <c r="C40" s="9"/>
      <c r="D40" s="9"/>
    </row>
    <row r="41" spans="1:4" ht="18">
      <c r="A41" s="10" t="s">
        <v>121</v>
      </c>
      <c r="B41" s="10"/>
      <c r="C41" s="10"/>
      <c r="D41" s="10"/>
    </row>
    <row r="42" spans="1:4">
      <c r="A42" s="9"/>
      <c r="B42" s="9"/>
      <c r="C42" s="9"/>
      <c r="D42" s="9"/>
    </row>
    <row r="43" spans="1:4" ht="18">
      <c r="A43" s="10" t="s">
        <v>122</v>
      </c>
      <c r="B43" s="10"/>
      <c r="C43" s="10"/>
      <c r="D43" s="10"/>
    </row>
    <row r="44" spans="1:4">
      <c r="A44" s="12" t="s">
        <v>123</v>
      </c>
      <c r="B44" s="12"/>
      <c r="C44" s="12"/>
      <c r="D44" s="12"/>
    </row>
    <row r="45" spans="1:4">
      <c r="A45" s="9"/>
      <c r="B45" s="9"/>
      <c r="C45" s="9"/>
      <c r="D45" s="9"/>
    </row>
    <row r="46" spans="1:4" ht="18">
      <c r="A46" s="10" t="s">
        <v>124</v>
      </c>
      <c r="B46" s="10"/>
      <c r="C46" s="10"/>
      <c r="D46" s="10"/>
    </row>
    <row r="47" spans="1:4">
      <c r="A47" s="9"/>
      <c r="B47" s="9"/>
      <c r="C47" s="9"/>
      <c r="D47" s="9"/>
    </row>
    <row r="48" spans="1:4">
      <c r="A48" s="8" t="s">
        <v>125</v>
      </c>
      <c r="B48" s="11" t="s">
        <v>126</v>
      </c>
      <c r="C48" s="11"/>
      <c r="D48" s="8"/>
    </row>
  </sheetData>
  <mergeCells count="49">
    <mergeCell ref="A1:B1"/>
    <mergeCell ref="C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5:D45"/>
    <mergeCell ref="A46:D46"/>
    <mergeCell ref="A47:D47"/>
    <mergeCell ref="B48:C48"/>
    <mergeCell ref="A40:D40"/>
    <mergeCell ref="A41:D41"/>
    <mergeCell ref="A42:D42"/>
    <mergeCell ref="A43:D43"/>
    <mergeCell ref="A44:D44"/>
  </mergeCells>
  <pageMargins left="0.5" right="0.25" top="0.6" bottom="0.5" header="0.1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 Off Request</vt:lpstr>
      <vt:lpstr>Report Runtime Settings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 Bunnicelli</dc:creator>
  <cp:lastModifiedBy>Alex Fowler</cp:lastModifiedBy>
  <dcterms:created xsi:type="dcterms:W3CDTF">2025-12-19T21:30:37Z</dcterms:created>
  <dcterms:modified xsi:type="dcterms:W3CDTF">2025-12-29T22:21:53Z</dcterms:modified>
</cp:coreProperties>
</file>